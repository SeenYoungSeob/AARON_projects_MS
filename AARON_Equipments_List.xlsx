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E487F54-1527-4252-8868-31508D0D758E}" xr6:coauthVersionLast="47" xr6:coauthVersionMax="47" xr10:uidLastSave="{00000000-0000-0000-0000-000000000000}"/>
  <bookViews>
    <workbookView xWindow="38280" yWindow="-120" windowWidth="29040" windowHeight="15720" xr2:uid="{9FC9DA6C-C41B-4A66-9DF5-71CC7BF11487}"/>
  </bookViews>
  <sheets>
    <sheet name="장비통합" sheetId="2" r:id="rId1"/>
    <sheet name="Sheet1" sheetId="1" r:id="rId2"/>
  </sheets>
  <externalReferences>
    <externalReference r:id="rId3"/>
  </externalReferences>
  <definedNames>
    <definedName name="_xlnm._FilterDatabase" localSheetId="0" hidden="1">장비통합!$A$1:$P$131</definedName>
    <definedName name="_xlnm.Print_Area" localSheetId="0">장비통합!$A$1:$R$143</definedName>
    <definedName name="예스폼">#REF!</definedName>
    <definedName name="장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31" i="2" l="1"/>
  <c r="K131" i="2" s="1"/>
  <c r="J130" i="2"/>
  <c r="K130" i="2" s="1"/>
  <c r="J129" i="2"/>
  <c r="K129" i="2" s="1"/>
  <c r="J128" i="2"/>
  <c r="K128" i="2" s="1"/>
  <c r="J127" i="2"/>
  <c r="K127" i="2" s="1"/>
  <c r="J126" i="2"/>
  <c r="K126" i="2" s="1"/>
  <c r="J125" i="2"/>
  <c r="K125" i="2" s="1"/>
  <c r="J124" i="2"/>
  <c r="K124" i="2" s="1"/>
  <c r="J123" i="2"/>
  <c r="K123" i="2" s="1"/>
  <c r="J122" i="2"/>
  <c r="K122" i="2" s="1"/>
  <c r="J121" i="2"/>
  <c r="K121" i="2" s="1"/>
  <c r="J120" i="2"/>
  <c r="K120" i="2" s="1"/>
  <c r="J119" i="2"/>
  <c r="K119" i="2" s="1"/>
  <c r="J118" i="2"/>
  <c r="K118" i="2" s="1"/>
  <c r="J117" i="2"/>
  <c r="K117" i="2" s="1"/>
  <c r="J116" i="2"/>
  <c r="K116" i="2" s="1"/>
  <c r="J115" i="2"/>
  <c r="K115" i="2" s="1"/>
  <c r="J114" i="2"/>
  <c r="K114" i="2" s="1"/>
  <c r="J113" i="2"/>
  <c r="K113" i="2" s="1"/>
  <c r="J112" i="2"/>
  <c r="K112" i="2" s="1"/>
  <c r="J111" i="2"/>
  <c r="K111" i="2" s="1"/>
  <c r="J110" i="2"/>
  <c r="K110" i="2" s="1"/>
  <c r="J109" i="2"/>
  <c r="K109" i="2" s="1"/>
  <c r="J108" i="2"/>
  <c r="K108" i="2" s="1"/>
  <c r="J107" i="2"/>
  <c r="K107" i="2" s="1"/>
  <c r="J106" i="2"/>
  <c r="K106" i="2" s="1"/>
  <c r="J105" i="2"/>
  <c r="K105" i="2" s="1"/>
  <c r="J104" i="2"/>
  <c r="K104" i="2" s="1"/>
  <c r="J103" i="2"/>
  <c r="K103" i="2" s="1"/>
  <c r="J102" i="2"/>
  <c r="K102" i="2" s="1"/>
  <c r="J101" i="2"/>
  <c r="K101" i="2" s="1"/>
  <c r="J100" i="2"/>
  <c r="K100" i="2" s="1"/>
  <c r="J99" i="2"/>
  <c r="K99" i="2" s="1"/>
  <c r="J98" i="2"/>
  <c r="K98" i="2" s="1"/>
  <c r="J97" i="2"/>
  <c r="K97" i="2" s="1"/>
  <c r="J96" i="2"/>
  <c r="K96" i="2" s="1"/>
  <c r="J95" i="2"/>
  <c r="K95" i="2" s="1"/>
  <c r="J94" i="2"/>
  <c r="K94" i="2" s="1"/>
  <c r="J93" i="2"/>
  <c r="K93" i="2" s="1"/>
  <c r="J92" i="2"/>
  <c r="K92" i="2" s="1"/>
  <c r="J91" i="2"/>
  <c r="K91" i="2" s="1"/>
  <c r="J90" i="2"/>
  <c r="K90" i="2" s="1"/>
  <c r="J89" i="2"/>
  <c r="K89" i="2" s="1"/>
  <c r="J88" i="2"/>
  <c r="K88" i="2" s="1"/>
  <c r="J87" i="2"/>
  <c r="K87" i="2" s="1"/>
  <c r="J86" i="2"/>
  <c r="K86" i="2" s="1"/>
  <c r="J85" i="2"/>
  <c r="K85" i="2" s="1"/>
  <c r="J84" i="2"/>
  <c r="K84" i="2" s="1"/>
  <c r="J83" i="2"/>
  <c r="K83" i="2" s="1"/>
  <c r="J82" i="2"/>
  <c r="K82" i="2" s="1"/>
  <c r="J81" i="2"/>
  <c r="K81" i="2" s="1"/>
  <c r="J80" i="2"/>
  <c r="K80" i="2" s="1"/>
  <c r="J79" i="2"/>
  <c r="K79" i="2" s="1"/>
  <c r="J78" i="2"/>
  <c r="K78" i="2" s="1"/>
  <c r="J77" i="2"/>
  <c r="K77" i="2" s="1"/>
  <c r="J76" i="2"/>
  <c r="K76" i="2" s="1"/>
  <c r="J75" i="2"/>
  <c r="K75" i="2" s="1"/>
  <c r="J74" i="2"/>
  <c r="K74" i="2" s="1"/>
  <c r="J73" i="2"/>
  <c r="K73" i="2" s="1"/>
  <c r="J72" i="2"/>
  <c r="K72" i="2" s="1"/>
  <c r="J71" i="2"/>
  <c r="K71" i="2" s="1"/>
  <c r="J70" i="2"/>
  <c r="K70" i="2" s="1"/>
  <c r="J69" i="2"/>
  <c r="K69" i="2" s="1"/>
  <c r="J68" i="2"/>
  <c r="K68" i="2" s="1"/>
  <c r="J67" i="2"/>
  <c r="K67" i="2" s="1"/>
  <c r="J66" i="2"/>
  <c r="K66" i="2" s="1"/>
  <c r="J65" i="2"/>
  <c r="K65" i="2" s="1"/>
  <c r="J64" i="2"/>
  <c r="K64" i="2" s="1"/>
  <c r="J63" i="2"/>
  <c r="K63" i="2" s="1"/>
  <c r="J62" i="2"/>
  <c r="K62" i="2" s="1"/>
  <c r="J61" i="2"/>
  <c r="K61" i="2" s="1"/>
  <c r="J60" i="2"/>
  <c r="K60" i="2" s="1"/>
  <c r="J59" i="2"/>
  <c r="K59" i="2" s="1"/>
  <c r="J58" i="2"/>
  <c r="K58" i="2" s="1"/>
  <c r="J57" i="2"/>
  <c r="K57" i="2" s="1"/>
  <c r="J56" i="2"/>
  <c r="K56" i="2" s="1"/>
  <c r="J55" i="2"/>
  <c r="K55" i="2" s="1"/>
  <c r="J54" i="2"/>
  <c r="K54" i="2" s="1"/>
  <c r="J53" i="2"/>
  <c r="K53" i="2" s="1"/>
  <c r="J52" i="2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  <c r="J2" i="2"/>
  <c r="K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tc={59A86B01-4079-4497-915A-76F8DCD91D2A}</author>
    <author>tc={1162EB7C-CF91-44F2-9CD0-F292ED101654}</author>
  </authors>
  <commentList>
    <comment ref="R8" authorId="0" shapeId="0" xr:uid="{59A86B01-4079-4497-915A-76F8DCD91D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메뉴얼 용접기
-수리 or 폐기
-메뉴얼은 전체 TIG
-수분 측정기 등(고장/폐기) (자산 등록 안되어있음)
-용접 부속품은 조사 안되어있음(Header제외)
-시공에 따른 어떤 용접기 및 어떤 부속품을 가져가야하는지 모름.
D-100 M-200은 연식(버전 차이)
AMI용접기의 경우 수냉식(쿨러 별도로 있음)
직영 1팀이 AMI, cajon거 둘다 씀. AMI는 용접할 수 있는 간격이 좁음-(AMI는 좁은 면적 용접에 사용에 유리함) 대부분 고장임.
AMI용접기 4개 쿨러 3대.
헤더 추가 확인필요.
자료 정리(용접기+부속품)
가압레코더의 경우 15MP 이상은 부스터 펌프로 검교정 진행 필요 Linde 등 기압으로 진행(헬륨으로 진행)
172번, 184번 196번, 199번 위치확인 필요
답글:
    용접 비드게이지 확인 필요</t>
      </text>
    </comment>
    <comment ref="R9" authorId="1" shapeId="0" xr:uid="{1162EB7C-CF91-44F2-9CD0-F292ED101654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3/10 업체 정리
용접기
웰드웰 -&gt; AMI 용접기만 검교정 가능, 장비당 25만
(주)세일기전 -&gt; 용접기별 5만, 출장비 20만(ALL)
그 외 나머지 장비
디와이장비계측기 / 트레스칼코리아 /
코리아인스트루먼트(KIC) / HCT / 케이교정원
</t>
      </text>
    </comment>
  </commentList>
</comments>
</file>

<file path=xl/sharedStrings.xml><?xml version="1.0" encoding="utf-8"?>
<sst xmlns="http://schemas.openxmlformats.org/spreadsheetml/2006/main" count="1133" uniqueCount="480">
  <si>
    <t>관리 NO.</t>
    <phoneticPr fontId="4" type="noConversion"/>
  </si>
  <si>
    <t>serial NO.</t>
    <phoneticPr fontId="4" type="noConversion"/>
  </si>
  <si>
    <t>장비명</t>
    <phoneticPr fontId="4" type="noConversion"/>
  </si>
  <si>
    <t>모델명</t>
    <phoneticPr fontId="4" type="noConversion"/>
  </si>
  <si>
    <t>제조회사</t>
    <phoneticPr fontId="4" type="noConversion"/>
  </si>
  <si>
    <t>최근 위치(위치명, 확인날짜기록)</t>
    <phoneticPr fontId="4" type="noConversion"/>
  </si>
  <si>
    <t>위치 확인 날짜</t>
    <phoneticPr fontId="1" type="noConversion"/>
  </si>
  <si>
    <t>최근 검교정 일자</t>
    <phoneticPr fontId="4" type="noConversion"/>
  </si>
  <si>
    <t>차기 검교정 일자</t>
    <phoneticPr fontId="1" type="noConversion"/>
  </si>
  <si>
    <t>검교정 필요 유무</t>
    <phoneticPr fontId="1" type="noConversion"/>
  </si>
  <si>
    <t>검교정 주기(개월)</t>
    <phoneticPr fontId="1" type="noConversion"/>
  </si>
  <si>
    <t>반출 일자</t>
  </si>
  <si>
    <t>반출 위치</t>
  </si>
  <si>
    <t>비고</t>
    <phoneticPr fontId="1" type="noConversion"/>
  </si>
  <si>
    <t>장비 구분</t>
    <phoneticPr fontId="1" type="noConversion"/>
  </si>
  <si>
    <t>상태 구분 범례</t>
  </si>
  <si>
    <t>AARON-01</t>
    <phoneticPr fontId="4" type="noConversion"/>
  </si>
  <si>
    <t>본체-41101</t>
    <phoneticPr fontId="4" type="noConversion"/>
  </si>
  <si>
    <t>자동용접기</t>
    <phoneticPr fontId="4" type="noConversion"/>
  </si>
  <si>
    <t>207A</t>
    <phoneticPr fontId="1" type="noConversion"/>
  </si>
  <si>
    <t>AMI</t>
    <phoneticPr fontId="4" type="noConversion"/>
  </si>
  <si>
    <t>본사, 1층 클린룸</t>
    <phoneticPr fontId="1" type="noConversion"/>
  </si>
  <si>
    <t>2026.04.30</t>
    <phoneticPr fontId="1" type="noConversion"/>
  </si>
  <si>
    <t>X</t>
  </si>
  <si>
    <t>사용가능</t>
  </si>
  <si>
    <t>색상</t>
  </si>
  <si>
    <t>상태</t>
  </si>
  <si>
    <t>AARON-02</t>
  </si>
  <si>
    <t>본체-38694</t>
    <phoneticPr fontId="4" type="noConversion"/>
  </si>
  <si>
    <t>본사, 4층 창고</t>
    <phoneticPr fontId="1" type="noConversion"/>
  </si>
  <si>
    <t>장비 확인 필요</t>
    <phoneticPr fontId="1" type="noConversion"/>
  </si>
  <si>
    <t>고장</t>
  </si>
  <si>
    <t>AARON-03</t>
  </si>
  <si>
    <t>본체-37156</t>
    <phoneticPr fontId="4" type="noConversion"/>
  </si>
  <si>
    <t>반출 &amp; 불출</t>
  </si>
  <si>
    <t>AARON-04</t>
    <phoneticPr fontId="1" type="noConversion"/>
  </si>
  <si>
    <t>본체-41070</t>
    <phoneticPr fontId="4" type="noConversion"/>
  </si>
  <si>
    <t>판매</t>
  </si>
  <si>
    <t>AARON-05</t>
  </si>
  <si>
    <t>본체-7552</t>
    <phoneticPr fontId="4" type="noConversion"/>
  </si>
  <si>
    <t>수리불가판정</t>
  </si>
  <si>
    <t>위치 확인X</t>
  </si>
  <si>
    <t>AARON-06</t>
  </si>
  <si>
    <t>본체-8371</t>
    <phoneticPr fontId="4" type="noConversion"/>
  </si>
  <si>
    <t>107-CW</t>
    <phoneticPr fontId="1" type="noConversion"/>
  </si>
  <si>
    <t>고장(폐기요청)</t>
  </si>
  <si>
    <t>AARON-07</t>
  </si>
  <si>
    <t>본체-20046</t>
    <phoneticPr fontId="4" type="noConversion"/>
  </si>
  <si>
    <t>227/227A-CW</t>
    <phoneticPr fontId="4" type="noConversion"/>
  </si>
  <si>
    <t>판매</t>
    <phoneticPr fontId="1" type="noConversion"/>
  </si>
  <si>
    <t>0506 미팅</t>
    <phoneticPr fontId="1" type="noConversion"/>
  </si>
  <si>
    <t>AARON-08</t>
  </si>
  <si>
    <t>쿨러-40461</t>
    <phoneticPr fontId="4" type="noConversion"/>
  </si>
  <si>
    <t xml:space="preserve">업체 관련 </t>
    <phoneticPr fontId="1" type="noConversion"/>
  </si>
  <si>
    <t>AARON-09</t>
  </si>
  <si>
    <t>쿨러-35856</t>
    <phoneticPr fontId="4" type="noConversion"/>
  </si>
  <si>
    <t>AARON-10</t>
  </si>
  <si>
    <t>쿨러-53154</t>
    <phoneticPr fontId="4" type="noConversion"/>
  </si>
  <si>
    <t>AARON-27</t>
  </si>
  <si>
    <t>본체-3155</t>
    <phoneticPr fontId="4" type="noConversion"/>
  </si>
  <si>
    <t>자동용접기</t>
    <phoneticPr fontId="1" type="noConversion"/>
  </si>
  <si>
    <t>CWS-D100-2B</t>
    <phoneticPr fontId="1" type="noConversion"/>
  </si>
  <si>
    <t>CAJON</t>
    <phoneticPr fontId="1" type="noConversion"/>
  </si>
  <si>
    <t>고장</t>
    <phoneticPr fontId="1" type="noConversion"/>
  </si>
  <si>
    <t>고장(상자 포장)</t>
    <phoneticPr fontId="1" type="noConversion"/>
  </si>
  <si>
    <t>AARON-28</t>
  </si>
  <si>
    <t>본체-3758</t>
    <phoneticPr fontId="4" type="noConversion"/>
  </si>
  <si>
    <t>AARON-29</t>
    <phoneticPr fontId="1" type="noConversion"/>
  </si>
  <si>
    <t>본체-3408</t>
    <phoneticPr fontId="4" type="noConversion"/>
  </si>
  <si>
    <t>AARON-30</t>
  </si>
  <si>
    <t>본체-3703</t>
    <phoneticPr fontId="4" type="noConversion"/>
  </si>
  <si>
    <t>반출</t>
    <phoneticPr fontId="1" type="noConversion"/>
  </si>
  <si>
    <t>인도</t>
    <phoneticPr fontId="1" type="noConversion"/>
  </si>
  <si>
    <t>AARON-31</t>
  </si>
  <si>
    <t>본체-3888</t>
    <phoneticPr fontId="4" type="noConversion"/>
  </si>
  <si>
    <t>본사, B1 공조실</t>
    <phoneticPr fontId="1" type="noConversion"/>
  </si>
  <si>
    <t>AARON-32</t>
  </si>
  <si>
    <t>본체-3910</t>
    <phoneticPr fontId="4" type="noConversion"/>
  </si>
  <si>
    <t>AARON-33</t>
  </si>
  <si>
    <t>본체-3139</t>
    <phoneticPr fontId="4" type="noConversion"/>
  </si>
  <si>
    <t>판매(아론베트남)</t>
    <phoneticPr fontId="1" type="noConversion"/>
  </si>
  <si>
    <t>AARON-34</t>
  </si>
  <si>
    <t>본체-6115</t>
    <phoneticPr fontId="4" type="noConversion"/>
  </si>
  <si>
    <t>SWS-M200-17K</t>
    <phoneticPr fontId="1" type="noConversion"/>
  </si>
  <si>
    <t>AARON-35</t>
  </si>
  <si>
    <t>본체-6104</t>
    <phoneticPr fontId="1" type="noConversion"/>
  </si>
  <si>
    <t>AARON-36</t>
  </si>
  <si>
    <t>본체-6118</t>
    <phoneticPr fontId="4" type="noConversion"/>
  </si>
  <si>
    <t>AARON-37</t>
  </si>
  <si>
    <t>본체-6103</t>
    <phoneticPr fontId="1" type="noConversion"/>
  </si>
  <si>
    <t>AARON-38</t>
  </si>
  <si>
    <t>본체-6111</t>
    <phoneticPr fontId="1" type="noConversion"/>
  </si>
  <si>
    <t>직영 2팀 보관중</t>
  </si>
  <si>
    <t>AARON-39</t>
  </si>
  <si>
    <t>본체-6110</t>
    <phoneticPr fontId="1" type="noConversion"/>
  </si>
  <si>
    <t>AARON-40</t>
  </si>
  <si>
    <t>본체-6116</t>
    <phoneticPr fontId="1" type="noConversion"/>
  </si>
  <si>
    <t>AARON-41</t>
  </si>
  <si>
    <t>본체6129</t>
    <phoneticPr fontId="4" type="noConversion"/>
  </si>
  <si>
    <t>김성휴 대리 반출</t>
    <phoneticPr fontId="1" type="noConversion"/>
  </si>
  <si>
    <t>AARON-42</t>
  </si>
  <si>
    <t>본체-6140</t>
    <phoneticPr fontId="4" type="noConversion"/>
  </si>
  <si>
    <t>AARON-43</t>
  </si>
  <si>
    <t>본체-6202</t>
    <phoneticPr fontId="4" type="noConversion"/>
  </si>
  <si>
    <t>AARON-44</t>
  </si>
  <si>
    <t>본체-6213</t>
    <phoneticPr fontId="4" type="noConversion"/>
  </si>
  <si>
    <t>직영 1팀 보관중</t>
  </si>
  <si>
    <t>AARON-45</t>
  </si>
  <si>
    <t>본체-6215</t>
    <phoneticPr fontId="4" type="noConversion"/>
  </si>
  <si>
    <t>판매확인</t>
    <phoneticPr fontId="1" type="noConversion"/>
  </si>
  <si>
    <t>AARON-46</t>
  </si>
  <si>
    <t>본체-6210</t>
    <phoneticPr fontId="4" type="noConversion"/>
  </si>
  <si>
    <t>TEL 코리아(CK-TECH)</t>
  </si>
  <si>
    <t>AARON-47</t>
  </si>
  <si>
    <t>본체-6212</t>
    <phoneticPr fontId="4" type="noConversion"/>
  </si>
  <si>
    <t>AARON-48</t>
  </si>
  <si>
    <t>본체-6114</t>
    <phoneticPr fontId="4" type="noConversion"/>
  </si>
  <si>
    <t>AARON-130</t>
  </si>
  <si>
    <t>booster-1099D26</t>
    <phoneticPr fontId="4" type="noConversion"/>
  </si>
  <si>
    <t>BOOSTER펌프</t>
    <phoneticPr fontId="1" type="noConversion"/>
  </si>
  <si>
    <t>KA6-75H</t>
    <phoneticPr fontId="1" type="noConversion"/>
  </si>
  <si>
    <t>한국유수압</t>
    <phoneticPr fontId="1" type="noConversion"/>
  </si>
  <si>
    <t>2026.02.06</t>
  </si>
  <si>
    <t>방폭장비</t>
    <phoneticPr fontId="1" type="noConversion"/>
  </si>
  <si>
    <t>AARON-131</t>
  </si>
  <si>
    <t>booster-0033-C01</t>
    <phoneticPr fontId="4" type="noConversion"/>
  </si>
  <si>
    <t>2026.02.27</t>
    <phoneticPr fontId="1" type="noConversion"/>
  </si>
  <si>
    <t>AARON-132</t>
    <phoneticPr fontId="1" type="noConversion"/>
  </si>
  <si>
    <t>본체-1404363</t>
    <phoneticPr fontId="4" type="noConversion"/>
  </si>
  <si>
    <t>HE LEAK DETECTOR</t>
    <phoneticPr fontId="1" type="noConversion"/>
  </si>
  <si>
    <t>ASM304</t>
    <phoneticPr fontId="1" type="noConversion"/>
  </si>
  <si>
    <t>ADIXEN</t>
    <phoneticPr fontId="1" type="noConversion"/>
  </si>
  <si>
    <t>계측장비,방폭장비</t>
    <phoneticPr fontId="1" type="noConversion"/>
  </si>
  <si>
    <t>AARON-133</t>
  </si>
  <si>
    <t>본체-2002719</t>
    <phoneticPr fontId="4" type="noConversion"/>
  </si>
  <si>
    <t>ASM390</t>
    <phoneticPr fontId="1" type="noConversion"/>
  </si>
  <si>
    <t>본사, 1층 클린룸</t>
  </si>
  <si>
    <t>AARON-134</t>
  </si>
  <si>
    <t>본체-117255</t>
    <phoneticPr fontId="4" type="noConversion"/>
  </si>
  <si>
    <t>PARTICLE COUNTER</t>
    <phoneticPr fontId="4" type="noConversion"/>
  </si>
  <si>
    <t>LASAIR3-110</t>
    <phoneticPr fontId="1" type="noConversion"/>
  </si>
  <si>
    <t>LASAIR</t>
    <phoneticPr fontId="1" type="noConversion"/>
  </si>
  <si>
    <t>본사, 3층 환경안전</t>
    <phoneticPr fontId="1" type="noConversion"/>
  </si>
  <si>
    <t>2026.02.25</t>
    <phoneticPr fontId="1" type="noConversion"/>
  </si>
  <si>
    <t>AARON-135</t>
  </si>
  <si>
    <t>본체-140105009</t>
    <phoneticPr fontId="4" type="noConversion"/>
  </si>
  <si>
    <t>SOLAIR 1100</t>
    <phoneticPr fontId="1" type="noConversion"/>
  </si>
  <si>
    <t>LIGHTHOUSE</t>
    <phoneticPr fontId="1" type="noConversion"/>
  </si>
  <si>
    <t>본사, 2층 클린룸</t>
    <phoneticPr fontId="1" type="noConversion"/>
  </si>
  <si>
    <t>계측장비</t>
    <phoneticPr fontId="1" type="noConversion"/>
  </si>
  <si>
    <t>AARON-136</t>
  </si>
  <si>
    <t>본체-170705006</t>
    <phoneticPr fontId="4" type="noConversion"/>
  </si>
  <si>
    <t>SOLAIR 1101</t>
  </si>
  <si>
    <t>AARON-137</t>
  </si>
  <si>
    <t>AARON-137-1</t>
    <phoneticPr fontId="1" type="noConversion"/>
  </si>
  <si>
    <t>본체-19204-44-1</t>
    <phoneticPr fontId="4" type="noConversion"/>
  </si>
  <si>
    <t>TRACER-2</t>
    <phoneticPr fontId="1" type="noConversion"/>
  </si>
  <si>
    <t>AARON-137-2</t>
  </si>
  <si>
    <t>본체-PT-24280-V6</t>
    <phoneticPr fontId="4" type="noConversion"/>
  </si>
  <si>
    <t>DF-550</t>
    <phoneticPr fontId="1" type="noConversion"/>
  </si>
  <si>
    <t>AARON-138</t>
    <phoneticPr fontId="1" type="noConversion"/>
  </si>
  <si>
    <t>AARON-138-1</t>
    <phoneticPr fontId="1" type="noConversion"/>
  </si>
  <si>
    <t>AARON-138-2</t>
  </si>
  <si>
    <t>AARON-139</t>
    <phoneticPr fontId="1" type="noConversion"/>
  </si>
  <si>
    <t>PR-23-03</t>
    <phoneticPr fontId="4" type="noConversion"/>
  </si>
  <si>
    <t>가압레코다</t>
    <phoneticPr fontId="1" type="noConversion"/>
  </si>
  <si>
    <t>1Mpa</t>
    <phoneticPr fontId="1" type="noConversion"/>
  </si>
  <si>
    <t>명성계기</t>
    <phoneticPr fontId="1" type="noConversion"/>
  </si>
  <si>
    <t>본사, 3층 창고</t>
    <phoneticPr fontId="1" type="noConversion"/>
  </si>
  <si>
    <t>2026.04.08</t>
    <phoneticPr fontId="1" type="noConversion"/>
  </si>
  <si>
    <t>AARON-140</t>
  </si>
  <si>
    <t>PR-14-04</t>
    <phoneticPr fontId="4" type="noConversion"/>
  </si>
  <si>
    <t>불출-현장사용</t>
    <phoneticPr fontId="1" type="noConversion"/>
  </si>
  <si>
    <t>AARON-141</t>
  </si>
  <si>
    <t>PR-14-06</t>
    <phoneticPr fontId="4" type="noConversion"/>
  </si>
  <si>
    <t>AARON-142</t>
  </si>
  <si>
    <t>PR-14-07</t>
    <phoneticPr fontId="4" type="noConversion"/>
  </si>
  <si>
    <t>AARON-143</t>
  </si>
  <si>
    <t>PR-09-05</t>
    <phoneticPr fontId="4" type="noConversion"/>
  </si>
  <si>
    <t>3Mpa</t>
    <phoneticPr fontId="1" type="noConversion"/>
  </si>
  <si>
    <t>AARON-144</t>
  </si>
  <si>
    <t>PR-02-05</t>
    <phoneticPr fontId="4" type="noConversion"/>
  </si>
  <si>
    <t>AARON-145</t>
  </si>
  <si>
    <t>PR-03-01</t>
    <phoneticPr fontId="4" type="noConversion"/>
  </si>
  <si>
    <t>3.5Mpa</t>
    <phoneticPr fontId="1" type="noConversion"/>
  </si>
  <si>
    <t>AARON-146</t>
  </si>
  <si>
    <t>PR-26-01</t>
    <phoneticPr fontId="4" type="noConversion"/>
  </si>
  <si>
    <t>5Mpa</t>
    <phoneticPr fontId="1" type="noConversion"/>
  </si>
  <si>
    <t>AARON-147</t>
  </si>
  <si>
    <t>PR-26-02</t>
    <phoneticPr fontId="4" type="noConversion"/>
  </si>
  <si>
    <t>본사, 3층 창고</t>
  </si>
  <si>
    <t>AARON-148</t>
  </si>
  <si>
    <t>PR-26-03</t>
    <phoneticPr fontId="4" type="noConversion"/>
  </si>
  <si>
    <t>AARON-149</t>
  </si>
  <si>
    <t>PR-06-02</t>
    <phoneticPr fontId="4" type="noConversion"/>
  </si>
  <si>
    <t>10Mpa</t>
    <phoneticPr fontId="1" type="noConversion"/>
  </si>
  <si>
    <t>AARON-150</t>
  </si>
  <si>
    <t>PR-06-03</t>
    <phoneticPr fontId="4" type="noConversion"/>
  </si>
  <si>
    <t>AARON-151</t>
  </si>
  <si>
    <t>PR-06-04</t>
    <phoneticPr fontId="4" type="noConversion"/>
  </si>
  <si>
    <t>AARON-152</t>
  </si>
  <si>
    <t>PR-09-023</t>
    <phoneticPr fontId="4" type="noConversion"/>
  </si>
  <si>
    <t>25Mpa</t>
    <phoneticPr fontId="1" type="noConversion"/>
  </si>
  <si>
    <t>AARON-153</t>
  </si>
  <si>
    <t>PR-05-02</t>
    <phoneticPr fontId="4" type="noConversion"/>
  </si>
  <si>
    <t>30Mpa</t>
    <phoneticPr fontId="1" type="noConversion"/>
  </si>
  <si>
    <t>AARON-154</t>
  </si>
  <si>
    <t>PR-05-01</t>
    <phoneticPr fontId="4" type="noConversion"/>
  </si>
  <si>
    <t>AARON-155</t>
  </si>
  <si>
    <t>PR-05-03</t>
    <phoneticPr fontId="4" type="noConversion"/>
  </si>
  <si>
    <t>AARON-157</t>
  </si>
  <si>
    <t>본체-270175</t>
    <phoneticPr fontId="4" type="noConversion"/>
  </si>
  <si>
    <t>DIFFUSER</t>
    <phoneticPr fontId="4" type="noConversion"/>
  </si>
  <si>
    <t>HPD2-100</t>
    <phoneticPr fontId="1" type="noConversion"/>
  </si>
  <si>
    <t>2026.02.06</t>
    <phoneticPr fontId="1" type="noConversion"/>
  </si>
  <si>
    <t>AARON-158</t>
  </si>
  <si>
    <t>본체-170705007</t>
    <phoneticPr fontId="4" type="noConversion"/>
  </si>
  <si>
    <t>AARON-159</t>
  </si>
  <si>
    <t>본체-270251</t>
    <phoneticPr fontId="4" type="noConversion"/>
  </si>
  <si>
    <t>AARON-160</t>
  </si>
  <si>
    <t>본체-270252</t>
    <phoneticPr fontId="4" type="noConversion"/>
  </si>
  <si>
    <t>HPD2-101</t>
  </si>
  <si>
    <t>AARON-161</t>
  </si>
  <si>
    <t>TH-26-04</t>
    <phoneticPr fontId="4" type="noConversion"/>
  </si>
  <si>
    <t>15Mpa</t>
    <phoneticPr fontId="1" type="noConversion"/>
  </si>
  <si>
    <t>AARON-162</t>
  </si>
  <si>
    <t>PR-25-03</t>
    <phoneticPr fontId="4" type="noConversion"/>
  </si>
  <si>
    <t>AARON-163</t>
  </si>
  <si>
    <t>PR-09-03</t>
    <phoneticPr fontId="4" type="noConversion"/>
  </si>
  <si>
    <t>2Mpa</t>
    <phoneticPr fontId="1" type="noConversion"/>
  </si>
  <si>
    <t>2026.05.18</t>
    <phoneticPr fontId="1" type="noConversion"/>
  </si>
  <si>
    <t>AARON-164</t>
  </si>
  <si>
    <t>PR-F30-01</t>
    <phoneticPr fontId="4" type="noConversion"/>
  </si>
  <si>
    <t>AARON-165</t>
  </si>
  <si>
    <t>PRB-09-047</t>
    <phoneticPr fontId="4" type="noConversion"/>
  </si>
  <si>
    <t>AARON-166</t>
  </si>
  <si>
    <t>PR-09-02</t>
    <phoneticPr fontId="4" type="noConversion"/>
  </si>
  <si>
    <t>AARON-167</t>
  </si>
  <si>
    <t>본체-115700</t>
    <phoneticPr fontId="4" type="noConversion"/>
  </si>
  <si>
    <t>MEASURING SYSTEM</t>
    <phoneticPr fontId="1" type="noConversion"/>
  </si>
  <si>
    <t>AARON-168</t>
  </si>
  <si>
    <t>본체-0730e609001</t>
    <phoneticPr fontId="4" type="noConversion"/>
  </si>
  <si>
    <t>WCPC-0730E</t>
    <phoneticPr fontId="1" type="noConversion"/>
  </si>
  <si>
    <t>HCT</t>
    <phoneticPr fontId="1" type="noConversion"/>
  </si>
  <si>
    <t>AARON-169</t>
  </si>
  <si>
    <t>본체-IIPD1609001</t>
    <phoneticPr fontId="4" type="noConversion"/>
  </si>
  <si>
    <t>llPD-75</t>
    <phoneticPr fontId="1" type="noConversion"/>
  </si>
  <si>
    <t>AARON-172</t>
  </si>
  <si>
    <t>디지털 룩스 메타</t>
    <phoneticPr fontId="4" type="noConversion"/>
  </si>
  <si>
    <t>WT-81</t>
    <phoneticPr fontId="1" type="noConversion"/>
  </si>
  <si>
    <t>WINTACT</t>
    <phoneticPr fontId="1" type="noConversion"/>
  </si>
  <si>
    <t>위치 확인 X</t>
    <phoneticPr fontId="1" type="noConversion"/>
  </si>
  <si>
    <t>검교정필요없음</t>
    <phoneticPr fontId="1" type="noConversion"/>
  </si>
  <si>
    <t>AARON-173</t>
  </si>
  <si>
    <t>조도계</t>
    <phoneticPr fontId="4" type="noConversion"/>
  </si>
  <si>
    <t>LM-631</t>
    <phoneticPr fontId="1" type="noConversion"/>
  </si>
  <si>
    <t>METERMAN</t>
    <phoneticPr fontId="1" type="noConversion"/>
  </si>
  <si>
    <t>AARON-174</t>
  </si>
  <si>
    <t>0560 8311</t>
    <phoneticPr fontId="1" type="noConversion"/>
  </si>
  <si>
    <t>적외선온도계</t>
    <phoneticPr fontId="4" type="noConversion"/>
  </si>
  <si>
    <t>830-T1</t>
    <phoneticPr fontId="1" type="noConversion"/>
  </si>
  <si>
    <t>TESTO</t>
    <phoneticPr fontId="1" type="noConversion"/>
  </si>
  <si>
    <t>작동불량,검교정필요없음</t>
    <phoneticPr fontId="1" type="noConversion"/>
  </si>
  <si>
    <t>AARON-175</t>
  </si>
  <si>
    <t>A-22260687</t>
    <phoneticPr fontId="1" type="noConversion"/>
  </si>
  <si>
    <t>클램프 미터</t>
    <phoneticPr fontId="4" type="noConversion"/>
  </si>
  <si>
    <t>FLUKE374</t>
    <phoneticPr fontId="1" type="noConversion"/>
  </si>
  <si>
    <t>FFLUKE</t>
    <phoneticPr fontId="1" type="noConversion"/>
  </si>
  <si>
    <t>AARON-176</t>
    <phoneticPr fontId="1" type="noConversion"/>
  </si>
  <si>
    <t>T58152212002</t>
    <phoneticPr fontId="1" type="noConversion"/>
  </si>
  <si>
    <t>차압계</t>
    <phoneticPr fontId="4" type="noConversion"/>
  </si>
  <si>
    <t>TSI 5815</t>
    <phoneticPr fontId="1" type="noConversion"/>
  </si>
  <si>
    <t>TSI</t>
    <phoneticPr fontId="1" type="noConversion"/>
  </si>
  <si>
    <t>22026.05.27</t>
    <phoneticPr fontId="1" type="noConversion"/>
  </si>
  <si>
    <t>AARON-177</t>
  </si>
  <si>
    <t>T93091897</t>
    <phoneticPr fontId="1" type="noConversion"/>
  </si>
  <si>
    <t>관절형 열선풍속계</t>
    <phoneticPr fontId="4" type="noConversion"/>
  </si>
  <si>
    <t>TSI9545-A</t>
    <phoneticPr fontId="1" type="noConversion"/>
  </si>
  <si>
    <t>AARON-178</t>
  </si>
  <si>
    <t>A-6020289</t>
    <phoneticPr fontId="1" type="noConversion"/>
  </si>
  <si>
    <t>포터블 파티클카운터</t>
    <phoneticPr fontId="4" type="noConversion"/>
  </si>
  <si>
    <t>HAL-HPC600</t>
    <phoneticPr fontId="1" type="noConversion"/>
  </si>
  <si>
    <t>HAL TECK</t>
    <phoneticPr fontId="1" type="noConversion"/>
  </si>
  <si>
    <t>AARON-179</t>
  </si>
  <si>
    <t>1P141268157</t>
    <phoneticPr fontId="1" type="noConversion"/>
  </si>
  <si>
    <t>풍속계</t>
    <phoneticPr fontId="4" type="noConversion"/>
  </si>
  <si>
    <t>VT 50</t>
    <phoneticPr fontId="1" type="noConversion"/>
  </si>
  <si>
    <t>KIMO</t>
    <phoneticPr fontId="1" type="noConversion"/>
  </si>
  <si>
    <t>AARON-180</t>
  </si>
  <si>
    <t>A-04292941</t>
    <phoneticPr fontId="1" type="noConversion"/>
  </si>
  <si>
    <t>소음계</t>
    <phoneticPr fontId="4" type="noConversion"/>
  </si>
  <si>
    <t>AR-824</t>
    <phoneticPr fontId="1" type="noConversion"/>
  </si>
  <si>
    <t>SMART SENSOR</t>
    <phoneticPr fontId="1" type="noConversion"/>
  </si>
  <si>
    <t>AARON-181</t>
  </si>
  <si>
    <t>A-161001516</t>
    <phoneticPr fontId="1" type="noConversion"/>
  </si>
  <si>
    <t>A-337</t>
    <phoneticPr fontId="1" type="noConversion"/>
  </si>
  <si>
    <t>CENTER</t>
    <phoneticPr fontId="1" type="noConversion"/>
  </si>
  <si>
    <t>AARON-182</t>
  </si>
  <si>
    <t>A-161001540</t>
    <phoneticPr fontId="1" type="noConversion"/>
  </si>
  <si>
    <t>AARON-183</t>
  </si>
  <si>
    <t>A-161001528</t>
    <phoneticPr fontId="1" type="noConversion"/>
  </si>
  <si>
    <t>AARON-184</t>
  </si>
  <si>
    <t>A-161001546</t>
    <phoneticPr fontId="1" type="noConversion"/>
  </si>
  <si>
    <t>AARON-185</t>
  </si>
  <si>
    <t>디지털조도계</t>
    <phoneticPr fontId="4" type="noConversion"/>
  </si>
  <si>
    <t>TES-1332A</t>
    <phoneticPr fontId="1" type="noConversion"/>
  </si>
  <si>
    <t>TES</t>
    <phoneticPr fontId="1" type="noConversion"/>
  </si>
  <si>
    <t>AARON-186</t>
  </si>
  <si>
    <t>AARON-187</t>
  </si>
  <si>
    <t>AARON-188</t>
  </si>
  <si>
    <t>절연저항계</t>
    <phoneticPr fontId="4" type="noConversion"/>
  </si>
  <si>
    <t>DH-5050-04</t>
    <phoneticPr fontId="1" type="noConversion"/>
  </si>
  <si>
    <t>DONGHWA</t>
    <phoneticPr fontId="1" type="noConversion"/>
  </si>
  <si>
    <t>AARON-189</t>
  </si>
  <si>
    <t>MA13003</t>
    <phoneticPr fontId="1" type="noConversion"/>
  </si>
  <si>
    <t>차압압력계</t>
    <phoneticPr fontId="4" type="noConversion"/>
  </si>
  <si>
    <t>ANEMOMETER MA 100</t>
    <phoneticPr fontId="1" type="noConversion"/>
  </si>
  <si>
    <t>대신소방산업</t>
    <phoneticPr fontId="1" type="noConversion"/>
  </si>
  <si>
    <t>충전안됨,검교정필요없음</t>
    <phoneticPr fontId="1" type="noConversion"/>
  </si>
  <si>
    <t>AARON-190</t>
    <phoneticPr fontId="1" type="noConversion"/>
  </si>
  <si>
    <t>화염감지기</t>
    <phoneticPr fontId="1" type="noConversion"/>
  </si>
  <si>
    <t>화염탐지기</t>
    <phoneticPr fontId="1" type="noConversion"/>
  </si>
  <si>
    <t>EMERSON Rosemount</t>
    <phoneticPr fontId="1" type="noConversion"/>
  </si>
  <si>
    <t>2026.05.27</t>
    <phoneticPr fontId="1" type="noConversion"/>
  </si>
  <si>
    <t>AARON-191</t>
  </si>
  <si>
    <t>본체-102978</t>
    <phoneticPr fontId="4" type="noConversion"/>
  </si>
  <si>
    <t>현미경</t>
    <phoneticPr fontId="4" type="noConversion"/>
  </si>
  <si>
    <t>WIDE STAND MICRO</t>
    <phoneticPr fontId="1" type="noConversion"/>
  </si>
  <si>
    <t>PEAK</t>
    <phoneticPr fontId="1" type="noConversion"/>
  </si>
  <si>
    <t>AARON-192</t>
  </si>
  <si>
    <t>ARKJ-0112</t>
    <phoneticPr fontId="4" type="noConversion"/>
  </si>
  <si>
    <t>가스측정기</t>
    <phoneticPr fontId="4" type="noConversion"/>
  </si>
  <si>
    <t>X-AM 5000</t>
    <phoneticPr fontId="1" type="noConversion"/>
  </si>
  <si>
    <t>성화전기</t>
    <phoneticPr fontId="1" type="noConversion"/>
  </si>
  <si>
    <t>AARON-193</t>
  </si>
  <si>
    <t>6X0100588 RN</t>
    <phoneticPr fontId="4" type="noConversion"/>
  </si>
  <si>
    <t>GX-2003</t>
    <phoneticPr fontId="1" type="noConversion"/>
  </si>
  <si>
    <t>RIKEN KEKI</t>
    <phoneticPr fontId="1" type="noConversion"/>
  </si>
  <si>
    <t>충전기없음,검교정필요없음</t>
    <phoneticPr fontId="1" type="noConversion"/>
  </si>
  <si>
    <t>AARON-194</t>
  </si>
  <si>
    <t>458100091ES</t>
    <phoneticPr fontId="4" type="noConversion"/>
  </si>
  <si>
    <t>GX-2001</t>
    <phoneticPr fontId="1" type="noConversion"/>
  </si>
  <si>
    <t>AARON-195</t>
  </si>
  <si>
    <t>Ex ib d ⅡB T 4</t>
    <phoneticPr fontId="4" type="noConversion"/>
  </si>
  <si>
    <t>MR-501S</t>
    <phoneticPr fontId="1" type="noConversion"/>
  </si>
  <si>
    <t>주식회사 미리코</t>
    <phoneticPr fontId="1" type="noConversion"/>
  </si>
  <si>
    <t>AARON-196</t>
  </si>
  <si>
    <t>SP2ND</t>
    <phoneticPr fontId="1" type="noConversion"/>
  </si>
  <si>
    <t>SENKO</t>
    <phoneticPr fontId="1" type="noConversion"/>
  </si>
  <si>
    <t>AARON-197</t>
  </si>
  <si>
    <t>K42512016</t>
    <phoneticPr fontId="4" type="noConversion"/>
  </si>
  <si>
    <t>LUMIDOR X4</t>
    <phoneticPr fontId="1" type="noConversion"/>
  </si>
  <si>
    <t>Honeywell</t>
    <phoneticPr fontId="1" type="noConversion"/>
  </si>
  <si>
    <t>2026.03.16</t>
    <phoneticPr fontId="1" type="noConversion"/>
  </si>
  <si>
    <t>AARON-198</t>
    <phoneticPr fontId="1" type="noConversion"/>
  </si>
  <si>
    <t>240.568.775</t>
    <phoneticPr fontId="1" type="noConversion"/>
  </si>
  <si>
    <t>도막측정기</t>
    <phoneticPr fontId="1" type="noConversion"/>
  </si>
  <si>
    <t>SW-6310A</t>
    <phoneticPr fontId="1" type="noConversion"/>
  </si>
  <si>
    <t>SNDWAY</t>
    <phoneticPr fontId="1" type="noConversion"/>
  </si>
  <si>
    <t>AARON-199</t>
    <phoneticPr fontId="1" type="noConversion"/>
  </si>
  <si>
    <t>확대경</t>
    <phoneticPr fontId="1" type="noConversion"/>
  </si>
  <si>
    <t>NSM-20</t>
    <phoneticPr fontId="1" type="noConversion"/>
  </si>
  <si>
    <t>기존 
AARON-400 -&gt; 199</t>
    <phoneticPr fontId="1" type="noConversion"/>
  </si>
  <si>
    <t>AARON-200</t>
    <phoneticPr fontId="1" type="noConversion"/>
  </si>
  <si>
    <t>DR-230 THE</t>
    <phoneticPr fontId="1" type="noConversion"/>
  </si>
  <si>
    <t>디지털 온습도계</t>
    <phoneticPr fontId="1" type="noConversion"/>
  </si>
  <si>
    <t>CMQ259100233</t>
    <phoneticPr fontId="1" type="noConversion"/>
  </si>
  <si>
    <t>ELITECH</t>
    <phoneticPr fontId="1" type="noConversion"/>
  </si>
  <si>
    <t>2026.04.02</t>
    <phoneticPr fontId="1" type="noConversion"/>
  </si>
  <si>
    <t>새로 추가</t>
    <phoneticPr fontId="1" type="noConversion"/>
  </si>
  <si>
    <t>AARON-201</t>
    <phoneticPr fontId="1" type="noConversion"/>
  </si>
  <si>
    <t>CMQ259100239</t>
    <phoneticPr fontId="1" type="noConversion"/>
  </si>
  <si>
    <t>AARON-202</t>
  </si>
  <si>
    <t>휴대용 가스감지기</t>
    <phoneticPr fontId="1" type="noConversion"/>
  </si>
  <si>
    <t>GPD-100</t>
    <phoneticPr fontId="1" type="noConversion"/>
  </si>
  <si>
    <t>GASTRON</t>
    <phoneticPr fontId="1" type="noConversion"/>
  </si>
  <si>
    <t>2026.05.06</t>
    <phoneticPr fontId="1" type="noConversion"/>
  </si>
  <si>
    <t>X</t>
    <phoneticPr fontId="1" type="noConversion"/>
  </si>
  <si>
    <t>AARON-203</t>
  </si>
  <si>
    <t>휴대용 PARTICLE COUNTER</t>
    <phoneticPr fontId="4" type="noConversion"/>
  </si>
  <si>
    <t>FLUKE983</t>
    <phoneticPr fontId="1" type="noConversion"/>
  </si>
  <si>
    <t>FLUKE</t>
    <phoneticPr fontId="1" type="noConversion"/>
  </si>
  <si>
    <t>AARON-204</t>
    <phoneticPr fontId="1" type="noConversion"/>
  </si>
  <si>
    <t>T035</t>
    <phoneticPr fontId="1" type="noConversion"/>
  </si>
  <si>
    <t>CAS</t>
    <phoneticPr fontId="1" type="noConversion"/>
  </si>
  <si>
    <t>본사, 4층 품질팀</t>
    <phoneticPr fontId="1" type="noConversion"/>
  </si>
  <si>
    <t>2026.05.19</t>
    <phoneticPr fontId="1" type="noConversion"/>
  </si>
  <si>
    <t>AARON(ex)-029</t>
    <phoneticPr fontId="4" type="noConversion"/>
  </si>
  <si>
    <t>게이지압용 압력계2</t>
    <phoneticPr fontId="1" type="noConversion"/>
  </si>
  <si>
    <t>(0-1.1)Mpa</t>
  </si>
  <si>
    <t>WIKA</t>
    <phoneticPr fontId="1" type="noConversion"/>
  </si>
  <si>
    <t>AARON(ex)-030</t>
    <phoneticPr fontId="4" type="noConversion"/>
  </si>
  <si>
    <t>4040 2303 016</t>
    <phoneticPr fontId="1" type="noConversion"/>
  </si>
  <si>
    <t>기체용 질량 유량계</t>
    <phoneticPr fontId="1" type="noConversion"/>
  </si>
  <si>
    <t>4040H</t>
  </si>
  <si>
    <t>2026.02.20</t>
    <phoneticPr fontId="1" type="noConversion"/>
  </si>
  <si>
    <t>AARON(ex)-031</t>
    <phoneticPr fontId="1" type="noConversion"/>
  </si>
  <si>
    <t>NONE</t>
    <phoneticPr fontId="1" type="noConversion"/>
  </si>
  <si>
    <t>내/외경줄자</t>
    <phoneticPr fontId="1" type="noConversion"/>
  </si>
  <si>
    <t>-</t>
  </si>
  <si>
    <t>TAJIMA</t>
    <phoneticPr fontId="1" type="noConversion"/>
  </si>
  <si>
    <t>2026.02.12</t>
  </si>
  <si>
    <t>AARON(ex)-033</t>
    <phoneticPr fontId="1" type="noConversion"/>
  </si>
  <si>
    <t>51562254/0122</t>
    <phoneticPr fontId="1" type="noConversion"/>
  </si>
  <si>
    <t>차압계</t>
    <phoneticPr fontId="1" type="noConversion"/>
  </si>
  <si>
    <t>510/(0-10)Kpa</t>
  </si>
  <si>
    <t>AARON(ex)-034</t>
    <phoneticPr fontId="1" type="noConversion"/>
  </si>
  <si>
    <t>230908-A01</t>
    <phoneticPr fontId="1" type="noConversion"/>
  </si>
  <si>
    <t>스탑워치</t>
    <phoneticPr fontId="1" type="noConversion"/>
  </si>
  <si>
    <t>C-517</t>
  </si>
  <si>
    <t>UINS</t>
    <phoneticPr fontId="1" type="noConversion"/>
  </si>
  <si>
    <t>AARON(ex)-035</t>
    <phoneticPr fontId="1" type="noConversion"/>
  </si>
  <si>
    <t>A070360</t>
    <phoneticPr fontId="1" type="noConversion"/>
  </si>
  <si>
    <t>토크렌치</t>
    <phoneticPr fontId="1" type="noConversion"/>
  </si>
  <si>
    <t>50 N.m</t>
  </si>
  <si>
    <t>TONE</t>
    <phoneticPr fontId="1" type="noConversion"/>
  </si>
  <si>
    <t>AARON(ex)-037</t>
    <phoneticPr fontId="1" type="noConversion"/>
  </si>
  <si>
    <t>디지털 멀티미터</t>
    <phoneticPr fontId="1" type="noConversion"/>
  </si>
  <si>
    <t>SAEHAN</t>
  </si>
  <si>
    <t>HONEYWELL</t>
    <phoneticPr fontId="1" type="noConversion"/>
  </si>
  <si>
    <t>AARON(ex)-038</t>
    <phoneticPr fontId="1" type="noConversion"/>
  </si>
  <si>
    <t>P-2404486-2</t>
    <phoneticPr fontId="1" type="noConversion"/>
  </si>
  <si>
    <t>기체용 면적 유량계</t>
    <phoneticPr fontId="1" type="noConversion"/>
  </si>
  <si>
    <t>SA-10</t>
  </si>
  <si>
    <t>S-FLOW</t>
    <phoneticPr fontId="1" type="noConversion"/>
  </si>
  <si>
    <t>AARON(ex)-039</t>
    <phoneticPr fontId="1" type="noConversion"/>
  </si>
  <si>
    <t>기체용 면적 유량계1</t>
    <phoneticPr fontId="1" type="noConversion"/>
  </si>
  <si>
    <t>LFF-401</t>
  </si>
  <si>
    <t>UNICELL</t>
    <phoneticPr fontId="1" type="noConversion"/>
  </si>
  <si>
    <t>AARON(ex)-040</t>
    <phoneticPr fontId="1" type="noConversion"/>
  </si>
  <si>
    <t>연성 압력계</t>
    <phoneticPr fontId="1" type="noConversion"/>
  </si>
  <si>
    <t>(-0.1 - 0.7Mpa)</t>
  </si>
  <si>
    <t>WISE</t>
    <phoneticPr fontId="1" type="noConversion"/>
  </si>
  <si>
    <t>AARON(ex)-041</t>
    <phoneticPr fontId="1" type="noConversion"/>
  </si>
  <si>
    <t>내,외측캘리퍼</t>
    <phoneticPr fontId="1" type="noConversion"/>
  </si>
  <si>
    <t>200 (0.01)mm</t>
  </si>
  <si>
    <t>BLUE BIRD</t>
    <phoneticPr fontId="1" type="noConversion"/>
  </si>
  <si>
    <t>AARON(ex)-042</t>
    <phoneticPr fontId="1" type="noConversion"/>
  </si>
  <si>
    <t>기체용 면적 유량계2</t>
    <phoneticPr fontId="1" type="noConversion"/>
  </si>
  <si>
    <t>164910-00</t>
  </si>
  <si>
    <t>DWYER</t>
    <phoneticPr fontId="1" type="noConversion"/>
  </si>
  <si>
    <t>AARON(ex)-043</t>
    <phoneticPr fontId="1" type="noConversion"/>
  </si>
  <si>
    <t>나사 피치 게이지</t>
    <phoneticPr fontId="1" type="noConversion"/>
  </si>
  <si>
    <t>52품</t>
  </si>
  <si>
    <t>HAN DO</t>
    <phoneticPr fontId="1" type="noConversion"/>
  </si>
  <si>
    <t>보류</t>
    <phoneticPr fontId="1" type="noConversion"/>
  </si>
  <si>
    <t>AARON(ex)-044</t>
    <phoneticPr fontId="1" type="noConversion"/>
  </si>
  <si>
    <t>게이지압용 압력계</t>
    <phoneticPr fontId="1" type="noConversion"/>
  </si>
  <si>
    <t>(0 - 1)Mpa</t>
  </si>
  <si>
    <t>YJN</t>
    <phoneticPr fontId="1" type="noConversion"/>
  </si>
  <si>
    <t>AARON(ex)-045</t>
    <phoneticPr fontId="1" type="noConversion"/>
  </si>
  <si>
    <t>게이지압용 압력계1</t>
    <phoneticPr fontId="1" type="noConversion"/>
  </si>
  <si>
    <t>(0 - 2)Mpa</t>
  </si>
  <si>
    <t>AARON(ex)-046</t>
    <phoneticPr fontId="1" type="noConversion"/>
  </si>
  <si>
    <t>디지털 멀티미터1</t>
    <phoneticPr fontId="1" type="noConversion"/>
  </si>
  <si>
    <t>DT-922</t>
  </si>
  <si>
    <t>CEM</t>
    <phoneticPr fontId="1" type="noConversion"/>
  </si>
  <si>
    <t>AARON(ex)-047</t>
    <phoneticPr fontId="1" type="noConversion"/>
  </si>
  <si>
    <t>내측 마이크로미터</t>
    <phoneticPr fontId="1" type="noConversion"/>
  </si>
  <si>
    <t>5 -30 (0.01)mm</t>
  </si>
  <si>
    <t>MITUTOYO</t>
    <phoneticPr fontId="1" type="noConversion"/>
  </si>
  <si>
    <t>AARON(ex)-048</t>
    <phoneticPr fontId="1" type="noConversion"/>
  </si>
  <si>
    <t>외측 마이크로미터</t>
    <phoneticPr fontId="1" type="noConversion"/>
  </si>
  <si>
    <t>25-50(0.001)mm</t>
  </si>
  <si>
    <t>AARON(ex)-049</t>
    <phoneticPr fontId="1" type="noConversion"/>
  </si>
  <si>
    <t>N575796</t>
    <phoneticPr fontId="1" type="noConversion"/>
  </si>
  <si>
    <t>초음파식 두께측정기</t>
    <phoneticPr fontId="1" type="noConversion"/>
  </si>
  <si>
    <t>BT-3941B</t>
  </si>
  <si>
    <t>BONDETEC</t>
    <phoneticPr fontId="1" type="noConversion"/>
  </si>
  <si>
    <t>AARON(ex)-050</t>
    <phoneticPr fontId="1" type="noConversion"/>
  </si>
  <si>
    <t>K150410645</t>
    <phoneticPr fontId="1" type="noConversion"/>
  </si>
  <si>
    <t>디지털 온도계</t>
    <phoneticPr fontId="1" type="noConversion"/>
  </si>
  <si>
    <t>1300(K-Type)</t>
  </si>
  <si>
    <t>AARON(ex)-051</t>
    <phoneticPr fontId="1" type="noConversion"/>
  </si>
  <si>
    <t>게이지압용 압력계3</t>
    <phoneticPr fontId="1" type="noConversion"/>
  </si>
  <si>
    <t>(0-28)Mpa</t>
  </si>
  <si>
    <t>AARON(ex)-052</t>
    <phoneticPr fontId="1" type="noConversion"/>
  </si>
  <si>
    <t>X19510965</t>
    <phoneticPr fontId="1" type="noConversion"/>
  </si>
  <si>
    <t>가스분석기</t>
    <phoneticPr fontId="1" type="noConversion"/>
  </si>
  <si>
    <t>Lumidor Minimax 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</si>
</sst>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굴림체"/>
      <family val="3"/>
      <charset val="129"/>
    </font>
    <font>
      <b/>
      <sz val="11"/>
      <color rgb="FFFFFF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B347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5DADE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1" applyFont="1" applyFill="1" applyBorder="1" applyAlignment="1">
      <alignment horizontal="center" vertical="center"/>
    </xf>
    <xf numFmtId="41" fontId="8" fillId="0" borderId="1" xfId="0" applyNumberFormat="1" applyFont="1" applyBorder="1" applyAlignment="1">
      <alignment horizontal="center" vertical="center"/>
    </xf>
    <xf numFmtId="41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6" fillId="7" borderId="3" xfId="0" applyFont="1" applyFill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41" fontId="8" fillId="5" borderId="1" xfId="0" applyNumberFormat="1" applyFont="1" applyFill="1" applyBorder="1" applyAlignment="1">
      <alignment horizontal="center" vertical="center"/>
    </xf>
    <xf numFmtId="41" fontId="8" fillId="5" borderId="2" xfId="0" applyNumberFormat="1" applyFont="1" applyFill="1" applyBorder="1" applyAlignment="1">
      <alignment horizontal="center" vertical="center"/>
    </xf>
    <xf numFmtId="41" fontId="8" fillId="5" borderId="4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0" fontId="6" fillId="8" borderId="1" xfId="0" applyFont="1" applyFill="1" applyBorder="1">
      <alignment vertical="center"/>
    </xf>
    <xf numFmtId="0" fontId="7" fillId="7" borderId="1" xfId="1" applyFont="1" applyFill="1" applyBorder="1" applyAlignment="1">
      <alignment horizontal="center" vertical="center"/>
    </xf>
    <xf numFmtId="41" fontId="8" fillId="7" borderId="1" xfId="0" applyNumberFormat="1" applyFont="1" applyFill="1" applyBorder="1" applyAlignment="1">
      <alignment horizontal="center" vertical="center"/>
    </xf>
    <xf numFmtId="41" fontId="8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41" fontId="8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4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7" fillId="9" borderId="1" xfId="1" applyFont="1" applyFill="1" applyBorder="1" applyAlignment="1">
      <alignment horizontal="center" vertical="center"/>
    </xf>
    <xf numFmtId="41" fontId="8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4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/>
    </xf>
    <xf numFmtId="0" fontId="12" fillId="9" borderId="1" xfId="0" applyFont="1" applyFill="1" applyBorder="1">
      <alignment vertical="center"/>
    </xf>
    <xf numFmtId="41" fontId="8" fillId="9" borderId="1" xfId="0" applyNumberFormat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41" fontId="8" fillId="8" borderId="1" xfId="0" applyNumberFormat="1" applyFont="1" applyFill="1" applyBorder="1" applyAlignment="1">
      <alignment horizontal="center" vertical="center"/>
    </xf>
    <xf numFmtId="41" fontId="8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 vertical="center"/>
    </xf>
    <xf numFmtId="41" fontId="8" fillId="5" borderId="1" xfId="0" applyNumberFormat="1" applyFont="1" applyFill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41" fontId="8" fillId="0" borderId="2" xfId="0" applyNumberFormat="1" applyFont="1" applyBorder="1" applyAlignment="1">
      <alignment horizontal="center" vertical="center"/>
    </xf>
    <xf numFmtId="41" fontId="8" fillId="0" borderId="4" xfId="0" applyNumberFormat="1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2" fillId="9" borderId="1" xfId="1" applyFill="1" applyBorder="1" applyAlignment="1">
      <alignment horizontal="center" vertical="center"/>
    </xf>
    <xf numFmtId="41" fontId="8" fillId="9" borderId="2" xfId="0" applyNumberFormat="1" applyFont="1" applyFill="1" applyBorder="1" applyAlignment="1">
      <alignment horizontal="center" vertical="center"/>
    </xf>
    <xf numFmtId="41" fontId="8" fillId="9" borderId="4" xfId="0" applyNumberFormat="1" applyFont="1" applyFill="1" applyBorder="1" applyAlignment="1">
      <alignment horizontal="center" vertical="center"/>
    </xf>
    <xf numFmtId="0" fontId="7" fillId="9" borderId="1" xfId="1" applyFont="1" applyFill="1" applyBorder="1">
      <alignment vertical="center"/>
    </xf>
    <xf numFmtId="0" fontId="6" fillId="9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oreaaaron-my.sharepoint.com/personal/david_lim_aaronkorea_com/Documents/1.%20&#54408;&#51656;&#48512;%20&#44277;&#50976;&#54260;&#45908;/&#44228;&#52769;&#44592;/&#44160;&#44368;&#51221;%20&#44228;&#52769;%20&#51109;&#48708;%20&#47532;&#49828;&#53944;.xlsx" TargetMode="External"/><Relationship Id="rId1" Type="http://schemas.openxmlformats.org/officeDocument/2006/relationships/externalLinkPath" Target="https://koreaaaron-my.sharepoint.com/personal/david_lim_aaronkorea_com/Documents/1.%20&#54408;&#51656;&#48512;%20&#44277;&#50976;&#54260;&#45908;/&#44228;&#52769;&#44592;/&#44160;&#44368;&#51221;%20&#44228;&#52769;%20&#51109;&#48708;%20&#47532;&#49828;&#539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장비통합"/>
      <sheetName val="검교정 분류"/>
      <sheetName val="001"/>
      <sheetName val="002"/>
      <sheetName val="004"/>
      <sheetName val="003"/>
      <sheetName val="005"/>
      <sheetName val="006"/>
      <sheetName val="007"/>
      <sheetName val="008"/>
      <sheetName val="009"/>
      <sheetName val="010"/>
      <sheetName val="027"/>
      <sheetName val="028"/>
      <sheetName val="029"/>
      <sheetName val="030"/>
      <sheetName val="031"/>
      <sheetName val="032"/>
      <sheetName val="033"/>
      <sheetName val="034"/>
      <sheetName val="035"/>
      <sheetName val="036"/>
      <sheetName val="037"/>
      <sheetName val="038"/>
      <sheetName val="039"/>
      <sheetName val="040"/>
      <sheetName val="041"/>
      <sheetName val="042"/>
      <sheetName val="043"/>
      <sheetName val="044"/>
      <sheetName val="045"/>
      <sheetName val="046"/>
      <sheetName val="047"/>
      <sheetName val="048"/>
      <sheetName val="130"/>
      <sheetName val="131"/>
      <sheetName val="132"/>
      <sheetName val="133"/>
      <sheetName val="134"/>
      <sheetName val="135"/>
      <sheetName val="136"/>
      <sheetName val="137"/>
      <sheetName val="137-1"/>
      <sheetName val="137-2"/>
      <sheetName val="138"/>
      <sheetName val="138-1"/>
      <sheetName val="138-2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8"/>
      <sheetName val="186"/>
      <sheetName val="187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ex-029"/>
      <sheetName val="ex-030"/>
      <sheetName val="ex-031"/>
      <sheetName val="ex-033"/>
      <sheetName val="ex-034"/>
      <sheetName val="ex-035"/>
      <sheetName val="ex-037"/>
      <sheetName val="ex-038"/>
      <sheetName val="ex-039"/>
      <sheetName val="ex-040"/>
      <sheetName val="ex-041"/>
      <sheetName val="ex-042"/>
      <sheetName val="ex-043"/>
      <sheetName val="ex-044"/>
      <sheetName val="ex-045"/>
      <sheetName val="ex-046"/>
      <sheetName val="ex-047"/>
      <sheetName val="ex-048"/>
      <sheetName val="ex-049"/>
      <sheetName val="ex-050"/>
      <sheetName val="ex-051"/>
      <sheetName val="ex-05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신 영섭" id="{54FCE826-D7A5-4D5B-812C-778E2B27A419}" userId="S::sys0202@aaronkorea.com::0bd898df-1b5e-4d28-8137-caeab683c212" providerId="AD"/>
  <person displayName="임 재현" id="{27B5A51B-696C-4131-8730-CF0086A630F7}" userId="S::david.lim@aaronkorea.com::0714c468-cfab-4d77-bccc-17f6b85574bc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8" dT="2026-05-06T05:01:48.78" personId="{27B5A51B-696C-4131-8730-CF0086A630F7}" id="{59A86B01-4079-4497-915A-76F8DCD91D2A}">
    <text xml:space="preserve">메뉴얼 용접기
-수리 or 폐기
-메뉴얼은 전체 TIG
-수분 측정기 등(고장/폐기) (자산 등록 안되어있음)
-용접 부속품은 조사 안되어있음(Header제외)
-시공에 따른 어떤 용접기 및 어떤 부속품을 가져가야하는지 모름.
D-100 M-200은 연식(버전 차이)
AMI용접기의 경우 수냉식(쿨러 별도로 있음)
직영 1팀이 AMI, cajon거 둘다 씀. AMI는 용접할 수 있는 간격이 좁음-(AMI는 좁은 면적 용접에 사용에 유리함) 대부분 고장임.
AMI용접기 4개 쿨러 3대.
헤더 추가 확인필요.
자료 정리(용접기+부속품)
가압레코더의 경우 15MP 이상은 부스터 펌프로 검교정 진행 필요 Linde 등 기압으로 진행(헬륨으로 진행)
172번, 184번 196번, 199번 위치확인 필요
</text>
  </threadedComment>
  <threadedComment ref="R8" dT="2026-05-06T05:02:59.23" personId="{27B5A51B-696C-4131-8730-CF0086A630F7}" id="{D3E45D29-3FD7-4638-AA0F-DE2B8A145806}" parentId="{59A86B01-4079-4497-915A-76F8DCD91D2A}">
    <text>용접 비드게이지 확인 필요</text>
  </threadedComment>
  <threadedComment ref="R9" dT="2026-05-06T06:14:35.75" personId="{54FCE826-D7A5-4D5B-812C-778E2B27A419}" id="{1162EB7C-CF91-44F2-9CD0-F292ED101654}">
    <text xml:space="preserve">3/10 업체 정리
용접기
웰드웰 -&gt; AMI 용접기만 검교정 가능, 장비당 25만
(주)세일기전 -&gt; 용접기별 5만, 출장비 20만(ALL)
그 외 나머지 장비
디와이장비계측기 / 트레스칼코리아 /
코리아인스트루먼트(KIC) / HCT / 케이교정원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3935-32B5-4706-9538-76EC57C8ED49}">
  <sheetPr>
    <pageSetUpPr fitToPage="1"/>
  </sheetPr>
  <dimension ref="A1:R131"/>
  <sheetViews>
    <sheetView tabSelected="1" view="pageBreakPreview" zoomScale="85" zoomScaleNormal="70" zoomScaleSheetLayoutView="85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I12" sqref="I12"/>
    </sheetView>
  </sheetViews>
  <sheetFormatPr defaultRowHeight="16.5" customHeight="1" x14ac:dyDescent="0.6"/>
  <cols>
    <col min="1" max="1" width="13.75" style="5" bestFit="1" customWidth="1"/>
    <col min="2" max="2" width="17.625" style="5" bestFit="1" customWidth="1"/>
    <col min="3" max="4" width="9" style="5"/>
    <col min="5" max="5" width="16.875" style="5" bestFit="1" customWidth="1"/>
    <col min="6" max="6" width="16.625" style="5" bestFit="1" customWidth="1"/>
    <col min="7" max="7" width="29.25" style="5" customWidth="1"/>
    <col min="8" max="8" width="17" style="5" customWidth="1"/>
    <col min="9" max="9" width="19.375" style="5" customWidth="1"/>
    <col min="10" max="10" width="19" style="5" customWidth="1"/>
    <col min="11" max="11" width="18.5" style="5" customWidth="1"/>
    <col min="12" max="14" width="18" style="80" customWidth="1"/>
    <col min="15" max="15" width="27.375" style="5" customWidth="1"/>
    <col min="16" max="16" width="17.625" style="5" customWidth="1"/>
    <col min="17" max="17" width="8.375" style="5" customWidth="1"/>
    <col min="18" max="18" width="15" style="5" customWidth="1"/>
    <col min="19" max="16384" width="9" style="5"/>
  </cols>
  <sheetData>
    <row r="1" spans="1:18" ht="16.899999999999999" x14ac:dyDescent="0.6">
      <c r="A1" s="1" t="s">
        <v>0</v>
      </c>
      <c r="B1" s="1" t="s">
        <v>1</v>
      </c>
      <c r="C1" s="2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4" t="s">
        <v>15</v>
      </c>
      <c r="R1" s="4"/>
    </row>
    <row r="2" spans="1:18" ht="16.899999999999999" x14ac:dyDescent="0.6">
      <c r="A2" s="6" t="s">
        <v>16</v>
      </c>
      <c r="B2" s="7" t="s">
        <v>17</v>
      </c>
      <c r="C2" s="8" t="s">
        <v>18</v>
      </c>
      <c r="D2" s="8"/>
      <c r="E2" s="9" t="s">
        <v>19</v>
      </c>
      <c r="F2" s="9" t="s">
        <v>20</v>
      </c>
      <c r="G2" s="10" t="s">
        <v>21</v>
      </c>
      <c r="H2" s="10" t="s">
        <v>22</v>
      </c>
      <c r="I2" s="11" t="s">
        <v>23</v>
      </c>
      <c r="J2" s="11" t="str">
        <f t="shared" ref="J2:J65" si="0">IF(ISNUMBER(I2),EDATE(I2,L2),"X")</f>
        <v>X</v>
      </c>
      <c r="K2" s="11" t="str">
        <f t="shared" ref="K2:K65" ca="1" si="1">IF(J2="X","X",IF(ISNUMBER(J2),IF(J2&lt;TODAY(),"O","X"),"X"))</f>
        <v>X</v>
      </c>
      <c r="L2" s="12">
        <v>12</v>
      </c>
      <c r="M2" s="12"/>
      <c r="N2" s="12"/>
      <c r="O2" s="10" t="s">
        <v>24</v>
      </c>
      <c r="P2" s="13"/>
      <c r="Q2" s="14" t="s">
        <v>25</v>
      </c>
      <c r="R2" s="14" t="s">
        <v>26</v>
      </c>
    </row>
    <row r="3" spans="1:18" ht="16.899999999999999" x14ac:dyDescent="0.6">
      <c r="A3" s="6" t="s">
        <v>27</v>
      </c>
      <c r="B3" s="7" t="s">
        <v>28</v>
      </c>
      <c r="C3" s="8" t="s">
        <v>18</v>
      </c>
      <c r="D3" s="8"/>
      <c r="E3" s="9" t="s">
        <v>19</v>
      </c>
      <c r="F3" s="9" t="s">
        <v>20</v>
      </c>
      <c r="G3" s="10" t="s">
        <v>29</v>
      </c>
      <c r="H3" s="10" t="s">
        <v>22</v>
      </c>
      <c r="I3" s="11" t="s">
        <v>23</v>
      </c>
      <c r="J3" s="11" t="str">
        <f t="shared" si="0"/>
        <v>X</v>
      </c>
      <c r="K3" s="11" t="str">
        <f t="shared" ca="1" si="1"/>
        <v>X</v>
      </c>
      <c r="L3" s="12">
        <v>12</v>
      </c>
      <c r="M3" s="12"/>
      <c r="N3" s="12"/>
      <c r="O3" s="10" t="s">
        <v>30</v>
      </c>
      <c r="P3" s="13"/>
      <c r="Q3" s="15"/>
      <c r="R3" s="10" t="s">
        <v>31</v>
      </c>
    </row>
    <row r="4" spans="1:18" ht="16.899999999999999" x14ac:dyDescent="0.6">
      <c r="A4" s="6" t="s">
        <v>32</v>
      </c>
      <c r="B4" s="7" t="s">
        <v>33</v>
      </c>
      <c r="C4" s="8" t="s">
        <v>18</v>
      </c>
      <c r="D4" s="8"/>
      <c r="E4" s="9" t="s">
        <v>19</v>
      </c>
      <c r="F4" s="9" t="s">
        <v>20</v>
      </c>
      <c r="G4" s="10" t="s">
        <v>21</v>
      </c>
      <c r="H4" s="10" t="s">
        <v>22</v>
      </c>
      <c r="I4" s="11" t="s">
        <v>23</v>
      </c>
      <c r="J4" s="11" t="str">
        <f t="shared" si="0"/>
        <v>X</v>
      </c>
      <c r="K4" s="11" t="str">
        <f t="shared" ca="1" si="1"/>
        <v>X</v>
      </c>
      <c r="L4" s="12">
        <v>12</v>
      </c>
      <c r="M4" s="12"/>
      <c r="N4" s="12"/>
      <c r="O4" s="10" t="s">
        <v>24</v>
      </c>
      <c r="P4" s="13"/>
      <c r="Q4" s="16"/>
      <c r="R4" s="10" t="s">
        <v>34</v>
      </c>
    </row>
    <row r="5" spans="1:18" ht="16.899999999999999" x14ac:dyDescent="0.6">
      <c r="A5" s="6" t="s">
        <v>35</v>
      </c>
      <c r="B5" s="7" t="s">
        <v>36</v>
      </c>
      <c r="C5" s="8" t="s">
        <v>18</v>
      </c>
      <c r="D5" s="8"/>
      <c r="E5" s="9" t="s">
        <v>19</v>
      </c>
      <c r="F5" s="9" t="s">
        <v>20</v>
      </c>
      <c r="G5" s="10" t="s">
        <v>29</v>
      </c>
      <c r="H5" s="10" t="s">
        <v>22</v>
      </c>
      <c r="I5" s="11" t="s">
        <v>23</v>
      </c>
      <c r="J5" s="11" t="str">
        <f t="shared" si="0"/>
        <v>X</v>
      </c>
      <c r="K5" s="11" t="str">
        <f t="shared" ca="1" si="1"/>
        <v>X</v>
      </c>
      <c r="L5" s="12">
        <v>12</v>
      </c>
      <c r="M5" s="12"/>
      <c r="N5" s="12"/>
      <c r="O5" s="10" t="s">
        <v>30</v>
      </c>
      <c r="P5" s="13"/>
      <c r="Q5" s="17"/>
      <c r="R5" s="18" t="s">
        <v>37</v>
      </c>
    </row>
    <row r="6" spans="1:18" ht="16.899999999999999" x14ac:dyDescent="0.6">
      <c r="A6" s="19" t="s">
        <v>38</v>
      </c>
      <c r="B6" s="20" t="s">
        <v>39</v>
      </c>
      <c r="C6" s="21" t="s">
        <v>18</v>
      </c>
      <c r="D6" s="22"/>
      <c r="E6" s="23" t="s">
        <v>19</v>
      </c>
      <c r="F6" s="23" t="s">
        <v>20</v>
      </c>
      <c r="G6" s="24" t="s">
        <v>40</v>
      </c>
      <c r="H6" s="24" t="s">
        <v>40</v>
      </c>
      <c r="I6" s="25" t="s">
        <v>23</v>
      </c>
      <c r="J6" s="25" t="str">
        <f t="shared" si="0"/>
        <v>X</v>
      </c>
      <c r="K6" s="25" t="str">
        <f t="shared" ca="1" si="1"/>
        <v>X</v>
      </c>
      <c r="L6" s="26">
        <v>12</v>
      </c>
      <c r="M6" s="26"/>
      <c r="N6" s="26"/>
      <c r="O6" s="24" t="s">
        <v>40</v>
      </c>
      <c r="P6" s="27"/>
      <c r="Q6" s="28"/>
      <c r="R6" s="10" t="s">
        <v>41</v>
      </c>
    </row>
    <row r="7" spans="1:18" ht="16.899999999999999" x14ac:dyDescent="0.6">
      <c r="A7" s="19" t="s">
        <v>42</v>
      </c>
      <c r="B7" s="20" t="s">
        <v>43</v>
      </c>
      <c r="C7" s="21" t="s">
        <v>18</v>
      </c>
      <c r="D7" s="22"/>
      <c r="E7" s="23" t="s">
        <v>44</v>
      </c>
      <c r="F7" s="23" t="s">
        <v>20</v>
      </c>
      <c r="G7" s="24" t="s">
        <v>45</v>
      </c>
      <c r="H7" s="24" t="s">
        <v>45</v>
      </c>
      <c r="I7" s="25" t="s">
        <v>23</v>
      </c>
      <c r="J7" s="25" t="str">
        <f t="shared" si="0"/>
        <v>X</v>
      </c>
      <c r="K7" s="25" t="str">
        <f t="shared" ca="1" si="1"/>
        <v>X</v>
      </c>
      <c r="L7" s="26">
        <v>12</v>
      </c>
      <c r="M7" s="26"/>
      <c r="N7" s="26"/>
      <c r="O7" s="24" t="s">
        <v>45</v>
      </c>
      <c r="P7" s="24"/>
    </row>
    <row r="8" spans="1:18" ht="16.899999999999999" x14ac:dyDescent="0.6">
      <c r="A8" s="29" t="s">
        <v>46</v>
      </c>
      <c r="B8" s="30" t="s">
        <v>47</v>
      </c>
      <c r="C8" s="31" t="s">
        <v>18</v>
      </c>
      <c r="D8" s="31"/>
      <c r="E8" s="32" t="s">
        <v>48</v>
      </c>
      <c r="F8" s="32" t="s">
        <v>20</v>
      </c>
      <c r="G8" s="33" t="s">
        <v>49</v>
      </c>
      <c r="H8" s="33" t="s">
        <v>49</v>
      </c>
      <c r="I8" s="34" t="s">
        <v>23</v>
      </c>
      <c r="J8" s="34" t="str">
        <f t="shared" si="0"/>
        <v>X</v>
      </c>
      <c r="K8" s="34" t="str">
        <f t="shared" ca="1" si="1"/>
        <v>X</v>
      </c>
      <c r="L8" s="35">
        <v>12</v>
      </c>
      <c r="M8" s="35"/>
      <c r="N8" s="35"/>
      <c r="O8" s="33" t="s">
        <v>49</v>
      </c>
      <c r="P8" s="33"/>
      <c r="R8" s="5" t="s">
        <v>50</v>
      </c>
    </row>
    <row r="9" spans="1:18" ht="16.899999999999999" x14ac:dyDescent="0.6">
      <c r="A9" s="6" t="s">
        <v>51</v>
      </c>
      <c r="B9" s="7" t="s">
        <v>52</v>
      </c>
      <c r="C9" s="8" t="s">
        <v>18</v>
      </c>
      <c r="D9" s="8"/>
      <c r="E9" s="9" t="s">
        <v>48</v>
      </c>
      <c r="F9" s="9" t="s">
        <v>20</v>
      </c>
      <c r="G9" s="10" t="s">
        <v>29</v>
      </c>
      <c r="H9" s="10" t="s">
        <v>22</v>
      </c>
      <c r="I9" s="11" t="s">
        <v>23</v>
      </c>
      <c r="J9" s="11" t="str">
        <f t="shared" si="0"/>
        <v>X</v>
      </c>
      <c r="K9" s="11" t="str">
        <f t="shared" ca="1" si="1"/>
        <v>X</v>
      </c>
      <c r="L9" s="12">
        <v>12</v>
      </c>
      <c r="M9" s="12"/>
      <c r="N9" s="12"/>
      <c r="O9" s="10"/>
      <c r="P9" s="10"/>
      <c r="R9" s="5" t="s">
        <v>53</v>
      </c>
    </row>
    <row r="10" spans="1:18" ht="16.899999999999999" x14ac:dyDescent="0.6">
      <c r="A10" s="6" t="s">
        <v>54</v>
      </c>
      <c r="B10" s="7" t="s">
        <v>55</v>
      </c>
      <c r="C10" s="8" t="s">
        <v>18</v>
      </c>
      <c r="D10" s="8"/>
      <c r="E10" s="9" t="s">
        <v>48</v>
      </c>
      <c r="F10" s="9" t="s">
        <v>20</v>
      </c>
      <c r="G10" s="10" t="s">
        <v>29</v>
      </c>
      <c r="H10" s="10" t="s">
        <v>22</v>
      </c>
      <c r="I10" s="11" t="s">
        <v>23</v>
      </c>
      <c r="J10" s="11" t="str">
        <f t="shared" si="0"/>
        <v>X</v>
      </c>
      <c r="K10" s="11" t="str">
        <f t="shared" ca="1" si="1"/>
        <v>X</v>
      </c>
      <c r="L10" s="12">
        <v>12</v>
      </c>
      <c r="M10" s="12"/>
      <c r="N10" s="12"/>
      <c r="O10" s="10"/>
      <c r="P10" s="10"/>
    </row>
    <row r="11" spans="1:18" ht="16.899999999999999" x14ac:dyDescent="0.6">
      <c r="A11" s="6" t="s">
        <v>56</v>
      </c>
      <c r="B11" s="7" t="s">
        <v>57</v>
      </c>
      <c r="C11" s="8" t="s">
        <v>18</v>
      </c>
      <c r="D11" s="8"/>
      <c r="E11" s="9" t="s">
        <v>48</v>
      </c>
      <c r="F11" s="9" t="s">
        <v>20</v>
      </c>
      <c r="G11" s="10" t="s">
        <v>29</v>
      </c>
      <c r="H11" s="10" t="s">
        <v>22</v>
      </c>
      <c r="I11" s="11" t="s">
        <v>23</v>
      </c>
      <c r="J11" s="11" t="str">
        <f t="shared" si="0"/>
        <v>X</v>
      </c>
      <c r="K11" s="11" t="str">
        <f t="shared" ca="1" si="1"/>
        <v>X</v>
      </c>
      <c r="L11" s="12">
        <v>12</v>
      </c>
      <c r="M11" s="12"/>
      <c r="N11" s="12"/>
      <c r="O11" s="10"/>
      <c r="P11" s="10"/>
    </row>
    <row r="12" spans="1:18" ht="16.899999999999999" x14ac:dyDescent="0.6">
      <c r="A12" s="19" t="s">
        <v>58</v>
      </c>
      <c r="B12" s="20" t="s">
        <v>59</v>
      </c>
      <c r="C12" s="36" t="s">
        <v>60</v>
      </c>
      <c r="D12" s="36"/>
      <c r="E12" s="23" t="s">
        <v>61</v>
      </c>
      <c r="F12" s="23" t="s">
        <v>62</v>
      </c>
      <c r="G12" s="24" t="s">
        <v>63</v>
      </c>
      <c r="H12" s="24" t="s">
        <v>63</v>
      </c>
      <c r="I12" s="25" t="s">
        <v>23</v>
      </c>
      <c r="J12" s="25" t="str">
        <f t="shared" si="0"/>
        <v>X</v>
      </c>
      <c r="K12" s="25" t="str">
        <f t="shared" ca="1" si="1"/>
        <v>X</v>
      </c>
      <c r="L12" s="26">
        <v>12</v>
      </c>
      <c r="M12" s="26"/>
      <c r="N12" s="26"/>
      <c r="O12" s="24" t="s">
        <v>64</v>
      </c>
      <c r="P12" s="24"/>
    </row>
    <row r="13" spans="1:18" ht="16.899999999999999" x14ac:dyDescent="0.6">
      <c r="A13" s="6" t="s">
        <v>65</v>
      </c>
      <c r="B13" s="7" t="s">
        <v>66</v>
      </c>
      <c r="C13" s="37" t="s">
        <v>60</v>
      </c>
      <c r="D13" s="37"/>
      <c r="E13" s="9" t="s">
        <v>61</v>
      </c>
      <c r="F13" s="9" t="s">
        <v>62</v>
      </c>
      <c r="G13" s="10" t="s">
        <v>29</v>
      </c>
      <c r="H13" s="10" t="s">
        <v>22</v>
      </c>
      <c r="I13" s="11" t="s">
        <v>23</v>
      </c>
      <c r="J13" s="11" t="str">
        <f t="shared" si="0"/>
        <v>X</v>
      </c>
      <c r="K13" s="11" t="str">
        <f t="shared" ca="1" si="1"/>
        <v>X</v>
      </c>
      <c r="L13" s="12">
        <v>12</v>
      </c>
      <c r="M13" s="12"/>
      <c r="N13" s="12"/>
      <c r="O13" s="10"/>
      <c r="P13" s="10"/>
    </row>
    <row r="14" spans="1:18" ht="16.899999999999999" x14ac:dyDescent="0.6">
      <c r="A14" s="6" t="s">
        <v>67</v>
      </c>
      <c r="B14" s="7" t="s">
        <v>68</v>
      </c>
      <c r="C14" s="37" t="s">
        <v>60</v>
      </c>
      <c r="D14" s="37"/>
      <c r="E14" s="9" t="s">
        <v>61</v>
      </c>
      <c r="F14" s="9" t="s">
        <v>62</v>
      </c>
      <c r="G14" s="10" t="s">
        <v>29</v>
      </c>
      <c r="H14" s="10" t="s">
        <v>22</v>
      </c>
      <c r="I14" s="11" t="s">
        <v>23</v>
      </c>
      <c r="J14" s="11" t="str">
        <f t="shared" si="0"/>
        <v>X</v>
      </c>
      <c r="K14" s="11" t="str">
        <f t="shared" ca="1" si="1"/>
        <v>X</v>
      </c>
      <c r="L14" s="12">
        <v>12</v>
      </c>
      <c r="M14" s="12"/>
      <c r="N14" s="12"/>
      <c r="O14" s="10"/>
      <c r="P14" s="10"/>
    </row>
    <row r="15" spans="1:18" ht="16.899999999999999" x14ac:dyDescent="0.6">
      <c r="A15" s="38" t="s">
        <v>69</v>
      </c>
      <c r="B15" s="39" t="s">
        <v>70</v>
      </c>
      <c r="C15" s="40" t="s">
        <v>60</v>
      </c>
      <c r="D15" s="40"/>
      <c r="E15" s="41" t="s">
        <v>61</v>
      </c>
      <c r="F15" s="41" t="s">
        <v>62</v>
      </c>
      <c r="G15" s="42" t="s">
        <v>71</v>
      </c>
      <c r="H15" s="42" t="s">
        <v>71</v>
      </c>
      <c r="I15" s="43" t="s">
        <v>23</v>
      </c>
      <c r="J15" s="43" t="str">
        <f t="shared" si="0"/>
        <v>X</v>
      </c>
      <c r="K15" s="43" t="str">
        <f t="shared" ca="1" si="1"/>
        <v>X</v>
      </c>
      <c r="L15" s="44">
        <v>12</v>
      </c>
      <c r="M15" s="44"/>
      <c r="N15" s="44" t="s">
        <v>72</v>
      </c>
      <c r="O15" s="42"/>
      <c r="P15" s="42"/>
    </row>
    <row r="16" spans="1:18" ht="16.899999999999999" x14ac:dyDescent="0.6">
      <c r="A16" s="6" t="s">
        <v>73</v>
      </c>
      <c r="B16" s="7" t="s">
        <v>74</v>
      </c>
      <c r="C16" s="37" t="s">
        <v>60</v>
      </c>
      <c r="D16" s="37"/>
      <c r="E16" s="9" t="s">
        <v>61</v>
      </c>
      <c r="F16" s="9" t="s">
        <v>62</v>
      </c>
      <c r="G16" s="10" t="s">
        <v>75</v>
      </c>
      <c r="H16" s="10" t="s">
        <v>22</v>
      </c>
      <c r="I16" s="11" t="s">
        <v>23</v>
      </c>
      <c r="J16" s="11" t="str">
        <f t="shared" si="0"/>
        <v>X</v>
      </c>
      <c r="K16" s="11" t="str">
        <f t="shared" ca="1" si="1"/>
        <v>X</v>
      </c>
      <c r="L16" s="12">
        <v>12</v>
      </c>
      <c r="M16" s="12"/>
      <c r="N16" s="12"/>
      <c r="O16" s="10"/>
      <c r="P16" s="10"/>
    </row>
    <row r="17" spans="1:16" ht="16.899999999999999" x14ac:dyDescent="0.6">
      <c r="A17" s="38" t="s">
        <v>76</v>
      </c>
      <c r="B17" s="39" t="s">
        <v>77</v>
      </c>
      <c r="C17" s="40" t="s">
        <v>60</v>
      </c>
      <c r="D17" s="40"/>
      <c r="E17" s="41" t="s">
        <v>61</v>
      </c>
      <c r="F17" s="41" t="s">
        <v>62</v>
      </c>
      <c r="G17" s="42" t="s">
        <v>71</v>
      </c>
      <c r="H17" s="42" t="s">
        <v>71</v>
      </c>
      <c r="I17" s="43" t="s">
        <v>23</v>
      </c>
      <c r="J17" s="43" t="str">
        <f t="shared" si="0"/>
        <v>X</v>
      </c>
      <c r="K17" s="43" t="str">
        <f t="shared" ca="1" si="1"/>
        <v>X</v>
      </c>
      <c r="L17" s="44">
        <v>12</v>
      </c>
      <c r="M17" s="44"/>
      <c r="N17" s="44" t="s">
        <v>72</v>
      </c>
      <c r="O17" s="42"/>
      <c r="P17" s="42"/>
    </row>
    <row r="18" spans="1:16" ht="16.899999999999999" x14ac:dyDescent="0.6">
      <c r="A18" s="29" t="s">
        <v>78</v>
      </c>
      <c r="B18" s="30" t="s">
        <v>79</v>
      </c>
      <c r="C18" s="45" t="s">
        <v>60</v>
      </c>
      <c r="D18" s="45"/>
      <c r="E18" s="32" t="s">
        <v>61</v>
      </c>
      <c r="F18" s="32" t="s">
        <v>62</v>
      </c>
      <c r="G18" s="33" t="s">
        <v>49</v>
      </c>
      <c r="H18" s="33" t="s">
        <v>49</v>
      </c>
      <c r="I18" s="34" t="s">
        <v>23</v>
      </c>
      <c r="J18" s="34" t="str">
        <f t="shared" si="0"/>
        <v>X</v>
      </c>
      <c r="K18" s="34" t="str">
        <f t="shared" ca="1" si="1"/>
        <v>X</v>
      </c>
      <c r="L18" s="35">
        <v>12</v>
      </c>
      <c r="M18" s="35"/>
      <c r="N18" s="35"/>
      <c r="O18" s="33" t="s">
        <v>80</v>
      </c>
      <c r="P18" s="33"/>
    </row>
    <row r="19" spans="1:16" ht="16.899999999999999" x14ac:dyDescent="0.6">
      <c r="A19" s="29" t="s">
        <v>81</v>
      </c>
      <c r="B19" s="30" t="s">
        <v>82</v>
      </c>
      <c r="C19" s="45" t="s">
        <v>60</v>
      </c>
      <c r="D19" s="45"/>
      <c r="E19" s="32" t="s">
        <v>83</v>
      </c>
      <c r="F19" s="32" t="s">
        <v>62</v>
      </c>
      <c r="G19" s="33" t="s">
        <v>49</v>
      </c>
      <c r="H19" s="33" t="s">
        <v>49</v>
      </c>
      <c r="I19" s="34" t="s">
        <v>23</v>
      </c>
      <c r="J19" s="34" t="str">
        <f t="shared" si="0"/>
        <v>X</v>
      </c>
      <c r="K19" s="34" t="str">
        <f t="shared" ca="1" si="1"/>
        <v>X</v>
      </c>
      <c r="L19" s="35">
        <v>12</v>
      </c>
      <c r="M19" s="35"/>
      <c r="N19" s="35"/>
      <c r="O19" s="33" t="s">
        <v>49</v>
      </c>
      <c r="P19" s="33"/>
    </row>
    <row r="20" spans="1:16" ht="16.899999999999999" x14ac:dyDescent="0.6">
      <c r="A20" s="6" t="s">
        <v>84</v>
      </c>
      <c r="B20" s="7" t="s">
        <v>85</v>
      </c>
      <c r="C20" s="37" t="s">
        <v>60</v>
      </c>
      <c r="D20" s="37"/>
      <c r="E20" s="9" t="s">
        <v>83</v>
      </c>
      <c r="F20" s="9" t="s">
        <v>62</v>
      </c>
      <c r="G20" s="10" t="s">
        <v>29</v>
      </c>
      <c r="H20" s="10" t="s">
        <v>22</v>
      </c>
      <c r="I20" s="11" t="s">
        <v>23</v>
      </c>
      <c r="J20" s="11" t="str">
        <f t="shared" si="0"/>
        <v>X</v>
      </c>
      <c r="K20" s="11" t="str">
        <f t="shared" ca="1" si="1"/>
        <v>X</v>
      </c>
      <c r="L20" s="12">
        <v>12</v>
      </c>
      <c r="M20" s="12"/>
      <c r="N20" s="12"/>
      <c r="O20" s="10"/>
      <c r="P20" s="10"/>
    </row>
    <row r="21" spans="1:16" ht="16.899999999999999" x14ac:dyDescent="0.6">
      <c r="A21" s="6" t="s">
        <v>86</v>
      </c>
      <c r="B21" s="7" t="s">
        <v>87</v>
      </c>
      <c r="C21" s="37" t="s">
        <v>60</v>
      </c>
      <c r="D21" s="37"/>
      <c r="E21" s="9" t="s">
        <v>83</v>
      </c>
      <c r="F21" s="9" t="s">
        <v>62</v>
      </c>
      <c r="G21" s="10" t="s">
        <v>29</v>
      </c>
      <c r="H21" s="10" t="s">
        <v>22</v>
      </c>
      <c r="I21" s="11" t="s">
        <v>23</v>
      </c>
      <c r="J21" s="11" t="str">
        <f t="shared" si="0"/>
        <v>X</v>
      </c>
      <c r="K21" s="11" t="str">
        <f t="shared" ca="1" si="1"/>
        <v>X</v>
      </c>
      <c r="L21" s="12">
        <v>12</v>
      </c>
      <c r="M21" s="12"/>
      <c r="N21" s="12"/>
      <c r="O21" s="10"/>
      <c r="P21" s="10"/>
    </row>
    <row r="22" spans="1:16" ht="16.899999999999999" x14ac:dyDescent="0.6">
      <c r="A22" s="6" t="s">
        <v>88</v>
      </c>
      <c r="B22" s="7" t="s">
        <v>89</v>
      </c>
      <c r="C22" s="37" t="s">
        <v>60</v>
      </c>
      <c r="D22" s="37"/>
      <c r="E22" s="9" t="s">
        <v>83</v>
      </c>
      <c r="F22" s="9" t="s">
        <v>62</v>
      </c>
      <c r="G22" s="10" t="s">
        <v>29</v>
      </c>
      <c r="H22" s="10" t="s">
        <v>22</v>
      </c>
      <c r="I22" s="11" t="s">
        <v>23</v>
      </c>
      <c r="J22" s="11" t="str">
        <f t="shared" si="0"/>
        <v>X</v>
      </c>
      <c r="K22" s="11" t="str">
        <f t="shared" ca="1" si="1"/>
        <v>X</v>
      </c>
      <c r="L22" s="12">
        <v>12</v>
      </c>
      <c r="M22" s="12"/>
      <c r="N22" s="12"/>
      <c r="O22" s="10"/>
      <c r="P22" s="10"/>
    </row>
    <row r="23" spans="1:16" ht="16.899999999999999" x14ac:dyDescent="0.6">
      <c r="A23" s="6" t="s">
        <v>90</v>
      </c>
      <c r="B23" s="7" t="s">
        <v>91</v>
      </c>
      <c r="C23" s="37" t="s">
        <v>60</v>
      </c>
      <c r="D23" s="37"/>
      <c r="E23" s="9" t="s">
        <v>83</v>
      </c>
      <c r="F23" s="9" t="s">
        <v>62</v>
      </c>
      <c r="G23" s="10" t="s">
        <v>21</v>
      </c>
      <c r="H23" s="10" t="s">
        <v>22</v>
      </c>
      <c r="I23" s="11" t="s">
        <v>23</v>
      </c>
      <c r="J23" s="11" t="str">
        <f t="shared" si="0"/>
        <v>X</v>
      </c>
      <c r="K23" s="11" t="str">
        <f t="shared" ca="1" si="1"/>
        <v>X</v>
      </c>
      <c r="L23" s="12">
        <v>12</v>
      </c>
      <c r="M23" s="12"/>
      <c r="N23" s="12"/>
      <c r="O23" s="10" t="s">
        <v>92</v>
      </c>
      <c r="P23" s="10"/>
    </row>
    <row r="24" spans="1:16" ht="16.899999999999999" x14ac:dyDescent="0.6">
      <c r="A24" s="38" t="s">
        <v>93</v>
      </c>
      <c r="B24" s="39" t="s">
        <v>94</v>
      </c>
      <c r="C24" s="40" t="s">
        <v>60</v>
      </c>
      <c r="D24" s="40"/>
      <c r="E24" s="41" t="s">
        <v>83</v>
      </c>
      <c r="F24" s="41" t="s">
        <v>62</v>
      </c>
      <c r="G24" s="42" t="s">
        <v>29</v>
      </c>
      <c r="H24" s="42" t="s">
        <v>71</v>
      </c>
      <c r="I24" s="43" t="s">
        <v>23</v>
      </c>
      <c r="J24" s="43" t="str">
        <f t="shared" si="0"/>
        <v>X</v>
      </c>
      <c r="K24" s="43" t="str">
        <f t="shared" ca="1" si="1"/>
        <v>X</v>
      </c>
      <c r="L24" s="44">
        <v>12</v>
      </c>
      <c r="M24" s="44"/>
      <c r="N24" s="44" t="s">
        <v>72</v>
      </c>
      <c r="O24" s="42"/>
      <c r="P24" s="42"/>
    </row>
    <row r="25" spans="1:16" ht="16.899999999999999" x14ac:dyDescent="0.6">
      <c r="A25" s="38" t="s">
        <v>95</v>
      </c>
      <c r="B25" s="39" t="s">
        <v>96</v>
      </c>
      <c r="C25" s="40" t="s">
        <v>60</v>
      </c>
      <c r="D25" s="40"/>
      <c r="E25" s="41" t="s">
        <v>83</v>
      </c>
      <c r="F25" s="41" t="s">
        <v>62</v>
      </c>
      <c r="G25" s="42" t="s">
        <v>29</v>
      </c>
      <c r="H25" s="42" t="s">
        <v>71</v>
      </c>
      <c r="I25" s="43" t="s">
        <v>23</v>
      </c>
      <c r="J25" s="43" t="b">
        <f>S36=IF(ISNUMBER(I25),EDATE(I25,L25),"X")</f>
        <v>0</v>
      </c>
      <c r="K25" s="43" t="str">
        <f t="shared" ca="1" si="1"/>
        <v>X</v>
      </c>
      <c r="L25" s="44">
        <v>12</v>
      </c>
      <c r="M25" s="44"/>
      <c r="N25" s="44" t="s">
        <v>72</v>
      </c>
      <c r="O25" s="42"/>
      <c r="P25" s="42"/>
    </row>
    <row r="26" spans="1:16" ht="16.899999999999999" x14ac:dyDescent="0.6">
      <c r="A26" s="38" t="s">
        <v>97</v>
      </c>
      <c r="B26" s="39" t="s">
        <v>98</v>
      </c>
      <c r="C26" s="40" t="s">
        <v>60</v>
      </c>
      <c r="D26" s="40"/>
      <c r="E26" s="41" t="s">
        <v>83</v>
      </c>
      <c r="F26" s="41" t="s">
        <v>62</v>
      </c>
      <c r="G26" s="42" t="s">
        <v>71</v>
      </c>
      <c r="H26" s="42" t="s">
        <v>71</v>
      </c>
      <c r="I26" s="43" t="s">
        <v>23</v>
      </c>
      <c r="J26" s="43" t="str">
        <f t="shared" si="0"/>
        <v>X</v>
      </c>
      <c r="K26" s="43" t="str">
        <f t="shared" ca="1" si="1"/>
        <v>X</v>
      </c>
      <c r="L26" s="44">
        <v>12</v>
      </c>
      <c r="M26" s="44"/>
      <c r="N26" s="44"/>
      <c r="O26" s="42" t="s">
        <v>99</v>
      </c>
      <c r="P26" s="42"/>
    </row>
    <row r="27" spans="1:16" ht="16.899999999999999" x14ac:dyDescent="0.6">
      <c r="A27" s="38" t="s">
        <v>100</v>
      </c>
      <c r="B27" s="39" t="s">
        <v>101</v>
      </c>
      <c r="C27" s="40" t="s">
        <v>60</v>
      </c>
      <c r="D27" s="40"/>
      <c r="E27" s="41" t="s">
        <v>83</v>
      </c>
      <c r="F27" s="41" t="s">
        <v>62</v>
      </c>
      <c r="G27" s="42" t="s">
        <v>71</v>
      </c>
      <c r="H27" s="42" t="s">
        <v>71</v>
      </c>
      <c r="I27" s="43" t="s">
        <v>23</v>
      </c>
      <c r="J27" s="43" t="str">
        <f t="shared" si="0"/>
        <v>X</v>
      </c>
      <c r="K27" s="43" t="str">
        <f t="shared" ca="1" si="1"/>
        <v>X</v>
      </c>
      <c r="L27" s="44">
        <v>12</v>
      </c>
      <c r="M27" s="44"/>
      <c r="N27" s="44" t="s">
        <v>72</v>
      </c>
      <c r="O27" s="42"/>
      <c r="P27" s="42"/>
    </row>
    <row r="28" spans="1:16" ht="16.899999999999999" x14ac:dyDescent="0.6">
      <c r="A28" s="6" t="s">
        <v>102</v>
      </c>
      <c r="B28" s="7" t="s">
        <v>103</v>
      </c>
      <c r="C28" s="37" t="s">
        <v>60</v>
      </c>
      <c r="D28" s="37"/>
      <c r="E28" s="9" t="s">
        <v>83</v>
      </c>
      <c r="F28" s="9" t="s">
        <v>62</v>
      </c>
      <c r="G28" s="10" t="s">
        <v>29</v>
      </c>
      <c r="H28" s="10" t="s">
        <v>22</v>
      </c>
      <c r="I28" s="11" t="s">
        <v>23</v>
      </c>
      <c r="J28" s="11" t="str">
        <f t="shared" si="0"/>
        <v>X</v>
      </c>
      <c r="K28" s="11" t="str">
        <f t="shared" ca="1" si="1"/>
        <v>X</v>
      </c>
      <c r="L28" s="12">
        <v>12</v>
      </c>
      <c r="M28" s="12"/>
      <c r="N28" s="12"/>
      <c r="O28" s="10"/>
      <c r="P28" s="10"/>
    </row>
    <row r="29" spans="1:16" ht="16.899999999999999" x14ac:dyDescent="0.6">
      <c r="A29" s="6" t="s">
        <v>104</v>
      </c>
      <c r="B29" s="7" t="s">
        <v>105</v>
      </c>
      <c r="C29" s="37" t="s">
        <v>60</v>
      </c>
      <c r="D29" s="37"/>
      <c r="E29" s="9" t="s">
        <v>83</v>
      </c>
      <c r="F29" s="9" t="s">
        <v>62</v>
      </c>
      <c r="G29" s="10" t="s">
        <v>21</v>
      </c>
      <c r="H29" s="10" t="s">
        <v>22</v>
      </c>
      <c r="I29" s="11" t="s">
        <v>23</v>
      </c>
      <c r="J29" s="11" t="str">
        <f t="shared" si="0"/>
        <v>X</v>
      </c>
      <c r="K29" s="11" t="str">
        <f t="shared" ca="1" si="1"/>
        <v>X</v>
      </c>
      <c r="L29" s="12">
        <v>12</v>
      </c>
      <c r="M29" s="12"/>
      <c r="N29" s="12"/>
      <c r="O29" s="10" t="s">
        <v>106</v>
      </c>
      <c r="P29" s="10"/>
    </row>
    <row r="30" spans="1:16" ht="16.899999999999999" x14ac:dyDescent="0.6">
      <c r="A30" s="29" t="s">
        <v>107</v>
      </c>
      <c r="B30" s="30" t="s">
        <v>108</v>
      </c>
      <c r="C30" s="45" t="s">
        <v>60</v>
      </c>
      <c r="D30" s="45"/>
      <c r="E30" s="32" t="s">
        <v>83</v>
      </c>
      <c r="F30" s="32" t="s">
        <v>62</v>
      </c>
      <c r="G30" s="33" t="s">
        <v>49</v>
      </c>
      <c r="H30" s="33" t="s">
        <v>49</v>
      </c>
      <c r="I30" s="34" t="s">
        <v>23</v>
      </c>
      <c r="J30" s="34" t="str">
        <f t="shared" si="0"/>
        <v>X</v>
      </c>
      <c r="K30" s="34" t="str">
        <f t="shared" ca="1" si="1"/>
        <v>X</v>
      </c>
      <c r="L30" s="35">
        <v>12</v>
      </c>
      <c r="M30" s="35"/>
      <c r="N30" s="35"/>
      <c r="O30" s="33" t="s">
        <v>109</v>
      </c>
      <c r="P30" s="33"/>
    </row>
    <row r="31" spans="1:16" ht="16.899999999999999" x14ac:dyDescent="0.6">
      <c r="A31" s="38" t="s">
        <v>110</v>
      </c>
      <c r="B31" s="39" t="s">
        <v>111</v>
      </c>
      <c r="C31" s="40" t="s">
        <v>60</v>
      </c>
      <c r="D31" s="40"/>
      <c r="E31" s="41" t="s">
        <v>83</v>
      </c>
      <c r="F31" s="41" t="s">
        <v>62</v>
      </c>
      <c r="G31" s="42" t="s">
        <v>71</v>
      </c>
      <c r="H31" s="42" t="s">
        <v>71</v>
      </c>
      <c r="I31" s="43" t="s">
        <v>23</v>
      </c>
      <c r="J31" s="43" t="str">
        <f t="shared" si="0"/>
        <v>X</v>
      </c>
      <c r="K31" s="43" t="str">
        <f t="shared" ca="1" si="1"/>
        <v>X</v>
      </c>
      <c r="L31" s="44">
        <v>12</v>
      </c>
      <c r="M31" s="44"/>
      <c r="N31" s="44" t="s">
        <v>112</v>
      </c>
      <c r="O31" s="42"/>
      <c r="P31" s="42"/>
    </row>
    <row r="32" spans="1:16" ht="16.899999999999999" x14ac:dyDescent="0.6">
      <c r="A32" s="38" t="s">
        <v>113</v>
      </c>
      <c r="B32" s="39" t="s">
        <v>114</v>
      </c>
      <c r="C32" s="40" t="s">
        <v>60</v>
      </c>
      <c r="D32" s="40"/>
      <c r="E32" s="41" t="s">
        <v>83</v>
      </c>
      <c r="F32" s="41" t="s">
        <v>62</v>
      </c>
      <c r="G32" s="42" t="s">
        <v>71</v>
      </c>
      <c r="H32" s="42" t="s">
        <v>71</v>
      </c>
      <c r="I32" s="43" t="s">
        <v>23</v>
      </c>
      <c r="J32" s="43" t="str">
        <f t="shared" si="0"/>
        <v>X</v>
      </c>
      <c r="K32" s="43" t="str">
        <f t="shared" ca="1" si="1"/>
        <v>X</v>
      </c>
      <c r="L32" s="44">
        <v>12</v>
      </c>
      <c r="M32" s="44"/>
      <c r="N32" s="44" t="s">
        <v>112</v>
      </c>
      <c r="O32" s="42"/>
      <c r="P32" s="42"/>
    </row>
    <row r="33" spans="1:16" ht="16.899999999999999" x14ac:dyDescent="0.6">
      <c r="A33" s="38" t="s">
        <v>115</v>
      </c>
      <c r="B33" s="39" t="s">
        <v>116</v>
      </c>
      <c r="C33" s="40" t="s">
        <v>60</v>
      </c>
      <c r="D33" s="40"/>
      <c r="E33" s="41" t="s">
        <v>83</v>
      </c>
      <c r="F33" s="41" t="s">
        <v>62</v>
      </c>
      <c r="G33" s="42" t="s">
        <v>71</v>
      </c>
      <c r="H33" s="42" t="s">
        <v>71</v>
      </c>
      <c r="I33" s="43" t="s">
        <v>23</v>
      </c>
      <c r="J33" s="43" t="str">
        <f t="shared" si="0"/>
        <v>X</v>
      </c>
      <c r="K33" s="43" t="str">
        <f t="shared" ca="1" si="1"/>
        <v>X</v>
      </c>
      <c r="L33" s="44">
        <v>12</v>
      </c>
      <c r="M33" s="44"/>
      <c r="N33" s="44" t="s">
        <v>112</v>
      </c>
      <c r="O33" s="42"/>
      <c r="P33" s="42"/>
    </row>
    <row r="34" spans="1:16" ht="16.899999999999999" x14ac:dyDescent="0.6">
      <c r="A34" s="46" t="s">
        <v>117</v>
      </c>
      <c r="B34" s="47" t="s">
        <v>118</v>
      </c>
      <c r="C34" s="48" t="s">
        <v>119</v>
      </c>
      <c r="D34" s="48"/>
      <c r="E34" s="49" t="s">
        <v>120</v>
      </c>
      <c r="F34" s="49" t="s">
        <v>121</v>
      </c>
      <c r="G34" s="50" t="s">
        <v>21</v>
      </c>
      <c r="H34" s="50" t="s">
        <v>122</v>
      </c>
      <c r="I34" s="51" t="s">
        <v>23</v>
      </c>
      <c r="J34" s="51" t="str">
        <f t="shared" si="0"/>
        <v>X</v>
      </c>
      <c r="K34" s="51" t="str">
        <f t="shared" ca="1" si="1"/>
        <v>X</v>
      </c>
      <c r="L34" s="52"/>
      <c r="M34" s="52"/>
      <c r="N34" s="52"/>
      <c r="O34" s="50"/>
      <c r="P34" s="50" t="s">
        <v>123</v>
      </c>
    </row>
    <row r="35" spans="1:16" ht="16.899999999999999" x14ac:dyDescent="0.6">
      <c r="A35" s="46" t="s">
        <v>124</v>
      </c>
      <c r="B35" s="47" t="s">
        <v>125</v>
      </c>
      <c r="C35" s="48" t="s">
        <v>119</v>
      </c>
      <c r="D35" s="48"/>
      <c r="E35" s="49" t="s">
        <v>120</v>
      </c>
      <c r="F35" s="53"/>
      <c r="G35" s="50" t="s">
        <v>75</v>
      </c>
      <c r="H35" s="50" t="s">
        <v>126</v>
      </c>
      <c r="I35" s="51" t="s">
        <v>23</v>
      </c>
      <c r="J35" s="51" t="str">
        <f t="shared" si="0"/>
        <v>X</v>
      </c>
      <c r="K35" s="51" t="str">
        <f t="shared" ca="1" si="1"/>
        <v>X</v>
      </c>
      <c r="L35" s="52"/>
      <c r="M35" s="52"/>
      <c r="N35" s="52"/>
      <c r="O35" s="50"/>
      <c r="P35" s="50" t="s">
        <v>123</v>
      </c>
    </row>
    <row r="36" spans="1:16" ht="16.899999999999999" x14ac:dyDescent="0.6">
      <c r="A36" s="46" t="s">
        <v>127</v>
      </c>
      <c r="B36" s="47" t="s">
        <v>128</v>
      </c>
      <c r="C36" s="48" t="s">
        <v>129</v>
      </c>
      <c r="D36" s="48"/>
      <c r="E36" s="49" t="s">
        <v>130</v>
      </c>
      <c r="F36" s="49" t="s">
        <v>131</v>
      </c>
      <c r="G36" s="50" t="s">
        <v>21</v>
      </c>
      <c r="H36" s="50" t="s">
        <v>122</v>
      </c>
      <c r="I36" s="51">
        <v>45138</v>
      </c>
      <c r="J36" s="51">
        <f t="shared" si="0"/>
        <v>45869</v>
      </c>
      <c r="K36" s="51" t="str">
        <f t="shared" ca="1" si="1"/>
        <v>O</v>
      </c>
      <c r="L36" s="52">
        <v>24</v>
      </c>
      <c r="M36" s="52"/>
      <c r="N36" s="52"/>
      <c r="O36" s="50"/>
      <c r="P36" s="50" t="s">
        <v>132</v>
      </c>
    </row>
    <row r="37" spans="1:16" ht="16.899999999999999" x14ac:dyDescent="0.6">
      <c r="A37" s="46" t="s">
        <v>133</v>
      </c>
      <c r="B37" s="47" t="s">
        <v>134</v>
      </c>
      <c r="C37" s="48" t="s">
        <v>129</v>
      </c>
      <c r="D37" s="48"/>
      <c r="E37" s="49" t="s">
        <v>135</v>
      </c>
      <c r="F37" s="49" t="s">
        <v>131</v>
      </c>
      <c r="G37" s="50" t="s">
        <v>136</v>
      </c>
      <c r="H37" s="50" t="s">
        <v>122</v>
      </c>
      <c r="I37" s="51">
        <v>45688</v>
      </c>
      <c r="J37" s="51">
        <f t="shared" si="0"/>
        <v>46418</v>
      </c>
      <c r="K37" s="51" t="str">
        <f t="shared" ca="1" si="1"/>
        <v>X</v>
      </c>
      <c r="L37" s="52">
        <v>24</v>
      </c>
      <c r="M37" s="52"/>
      <c r="N37" s="52"/>
      <c r="O37" s="50"/>
      <c r="P37" s="50" t="s">
        <v>132</v>
      </c>
    </row>
    <row r="38" spans="1:16" ht="16.899999999999999" x14ac:dyDescent="0.6">
      <c r="A38" s="46" t="s">
        <v>137</v>
      </c>
      <c r="B38" s="47" t="s">
        <v>138</v>
      </c>
      <c r="C38" s="48" t="s">
        <v>139</v>
      </c>
      <c r="D38" s="48"/>
      <c r="E38" s="49" t="s">
        <v>140</v>
      </c>
      <c r="F38" s="49" t="s">
        <v>141</v>
      </c>
      <c r="G38" s="50" t="s">
        <v>142</v>
      </c>
      <c r="H38" s="50" t="s">
        <v>143</v>
      </c>
      <c r="I38" s="51">
        <v>46072</v>
      </c>
      <c r="J38" s="51">
        <f t="shared" si="0"/>
        <v>46437</v>
      </c>
      <c r="K38" s="51" t="str">
        <f t="shared" ca="1" si="1"/>
        <v>X</v>
      </c>
      <c r="L38" s="52">
        <v>12</v>
      </c>
      <c r="M38" s="52"/>
      <c r="N38" s="52"/>
      <c r="O38" s="50"/>
      <c r="P38" s="50" t="s">
        <v>132</v>
      </c>
    </row>
    <row r="39" spans="1:16" ht="16.899999999999999" x14ac:dyDescent="0.6">
      <c r="A39" s="46" t="s">
        <v>144</v>
      </c>
      <c r="B39" s="47" t="s">
        <v>145</v>
      </c>
      <c r="C39" s="48" t="s">
        <v>139</v>
      </c>
      <c r="D39" s="48"/>
      <c r="E39" s="49" t="s">
        <v>146</v>
      </c>
      <c r="F39" s="49" t="s">
        <v>147</v>
      </c>
      <c r="G39" s="50" t="s">
        <v>148</v>
      </c>
      <c r="H39" s="50" t="s">
        <v>122</v>
      </c>
      <c r="I39" s="51" t="s">
        <v>23</v>
      </c>
      <c r="J39" s="51" t="str">
        <f t="shared" si="0"/>
        <v>X</v>
      </c>
      <c r="K39" s="51" t="str">
        <f t="shared" ca="1" si="1"/>
        <v>X</v>
      </c>
      <c r="L39" s="52">
        <v>12</v>
      </c>
      <c r="M39" s="52"/>
      <c r="N39" s="52"/>
      <c r="O39" s="50"/>
      <c r="P39" s="50" t="s">
        <v>149</v>
      </c>
    </row>
    <row r="40" spans="1:16" ht="16.899999999999999" x14ac:dyDescent="0.6">
      <c r="A40" s="46" t="s">
        <v>150</v>
      </c>
      <c r="B40" s="47" t="s">
        <v>151</v>
      </c>
      <c r="C40" s="48" t="s">
        <v>139</v>
      </c>
      <c r="D40" s="48"/>
      <c r="E40" s="49" t="s">
        <v>152</v>
      </c>
      <c r="F40" s="49" t="s">
        <v>147</v>
      </c>
      <c r="G40" s="50" t="s">
        <v>148</v>
      </c>
      <c r="H40" s="50" t="s">
        <v>122</v>
      </c>
      <c r="I40" s="51" t="s">
        <v>23</v>
      </c>
      <c r="J40" s="51" t="str">
        <f t="shared" si="0"/>
        <v>X</v>
      </c>
      <c r="K40" s="51" t="str">
        <f t="shared" ca="1" si="1"/>
        <v>X</v>
      </c>
      <c r="L40" s="52">
        <v>12</v>
      </c>
      <c r="M40" s="52"/>
      <c r="N40" s="52"/>
      <c r="O40" s="50"/>
      <c r="P40" s="50" t="s">
        <v>149</v>
      </c>
    </row>
    <row r="41" spans="1:16" ht="16.899999999999999" x14ac:dyDescent="0.6">
      <c r="A41" s="46" t="s">
        <v>153</v>
      </c>
      <c r="B41" s="47"/>
      <c r="C41" s="48" t="s">
        <v>139</v>
      </c>
      <c r="D41" s="48"/>
      <c r="E41" s="49"/>
      <c r="F41" s="49"/>
      <c r="G41" s="50" t="s">
        <v>21</v>
      </c>
      <c r="H41" s="50" t="s">
        <v>122</v>
      </c>
      <c r="I41" s="51" t="s">
        <v>23</v>
      </c>
      <c r="J41" s="51" t="str">
        <f t="shared" si="0"/>
        <v>X</v>
      </c>
      <c r="K41" s="51" t="str">
        <f t="shared" ca="1" si="1"/>
        <v>X</v>
      </c>
      <c r="L41" s="52">
        <v>12</v>
      </c>
      <c r="M41" s="52"/>
      <c r="N41" s="52"/>
      <c r="O41" s="50"/>
      <c r="P41" s="50" t="s">
        <v>149</v>
      </c>
    </row>
    <row r="42" spans="1:16" ht="16.899999999999999" x14ac:dyDescent="0.6">
      <c r="A42" s="46" t="s">
        <v>154</v>
      </c>
      <c r="B42" s="47" t="s">
        <v>155</v>
      </c>
      <c r="C42" s="48" t="s">
        <v>139</v>
      </c>
      <c r="D42" s="48"/>
      <c r="E42" s="49" t="s">
        <v>156</v>
      </c>
      <c r="F42" s="49"/>
      <c r="G42" s="50" t="s">
        <v>136</v>
      </c>
      <c r="H42" s="50" t="s">
        <v>122</v>
      </c>
      <c r="I42" s="51" t="s">
        <v>23</v>
      </c>
      <c r="J42" s="51" t="str">
        <f t="shared" si="0"/>
        <v>X</v>
      </c>
      <c r="K42" s="51" t="str">
        <f t="shared" ca="1" si="1"/>
        <v>X</v>
      </c>
      <c r="L42" s="52">
        <v>12</v>
      </c>
      <c r="M42" s="52"/>
      <c r="N42" s="52"/>
      <c r="O42" s="50"/>
      <c r="P42" s="50" t="s">
        <v>149</v>
      </c>
    </row>
    <row r="43" spans="1:16" ht="16.899999999999999" x14ac:dyDescent="0.6">
      <c r="A43" s="46" t="s">
        <v>157</v>
      </c>
      <c r="B43" s="47" t="s">
        <v>158</v>
      </c>
      <c r="C43" s="48" t="s">
        <v>139</v>
      </c>
      <c r="D43" s="48"/>
      <c r="E43" s="49" t="s">
        <v>159</v>
      </c>
      <c r="F43" s="49"/>
      <c r="G43" s="50" t="s">
        <v>21</v>
      </c>
      <c r="H43" s="50" t="s">
        <v>122</v>
      </c>
      <c r="I43" s="51" t="s">
        <v>23</v>
      </c>
      <c r="J43" s="51" t="str">
        <f t="shared" si="0"/>
        <v>X</v>
      </c>
      <c r="K43" s="51" t="str">
        <f t="shared" ca="1" si="1"/>
        <v>X</v>
      </c>
      <c r="L43" s="52">
        <v>12</v>
      </c>
      <c r="M43" s="52"/>
      <c r="N43" s="52"/>
      <c r="O43" s="50"/>
      <c r="P43" s="50" t="s">
        <v>149</v>
      </c>
    </row>
    <row r="44" spans="1:16" ht="16.899999999999999" x14ac:dyDescent="0.6">
      <c r="A44" s="46" t="s">
        <v>160</v>
      </c>
      <c r="B44" s="49"/>
      <c r="C44" s="48" t="s">
        <v>139</v>
      </c>
      <c r="D44" s="48"/>
      <c r="E44" s="49"/>
      <c r="F44" s="49"/>
      <c r="G44" s="50" t="s">
        <v>136</v>
      </c>
      <c r="H44" s="50" t="s">
        <v>122</v>
      </c>
      <c r="I44" s="51" t="s">
        <v>23</v>
      </c>
      <c r="J44" s="51" t="str">
        <f t="shared" si="0"/>
        <v>X</v>
      </c>
      <c r="K44" s="51" t="str">
        <f t="shared" ca="1" si="1"/>
        <v>X</v>
      </c>
      <c r="L44" s="52">
        <v>12</v>
      </c>
      <c r="M44" s="52"/>
      <c r="N44" s="52"/>
      <c r="O44" s="50"/>
      <c r="P44" s="50" t="s">
        <v>149</v>
      </c>
    </row>
    <row r="45" spans="1:16" ht="16.899999999999999" x14ac:dyDescent="0.6">
      <c r="A45" s="46" t="s">
        <v>161</v>
      </c>
      <c r="B45" s="47" t="s">
        <v>155</v>
      </c>
      <c r="C45" s="48" t="s">
        <v>139</v>
      </c>
      <c r="D45" s="48"/>
      <c r="E45" s="49" t="s">
        <v>156</v>
      </c>
      <c r="F45" s="49"/>
      <c r="G45" s="50" t="s">
        <v>21</v>
      </c>
      <c r="H45" s="50" t="s">
        <v>122</v>
      </c>
      <c r="I45" s="51" t="s">
        <v>23</v>
      </c>
      <c r="J45" s="51" t="str">
        <f t="shared" si="0"/>
        <v>X</v>
      </c>
      <c r="K45" s="51" t="str">
        <f t="shared" ca="1" si="1"/>
        <v>X</v>
      </c>
      <c r="L45" s="52">
        <v>12</v>
      </c>
      <c r="M45" s="52"/>
      <c r="N45" s="52"/>
      <c r="O45" s="50"/>
      <c r="P45" s="50" t="s">
        <v>149</v>
      </c>
    </row>
    <row r="46" spans="1:16" ht="16.899999999999999" x14ac:dyDescent="0.6">
      <c r="A46" s="46" t="s">
        <v>162</v>
      </c>
      <c r="B46" s="47" t="s">
        <v>158</v>
      </c>
      <c r="C46" s="48" t="s">
        <v>139</v>
      </c>
      <c r="D46" s="48"/>
      <c r="E46" s="49" t="s">
        <v>159</v>
      </c>
      <c r="F46" s="49"/>
      <c r="G46" s="50" t="s">
        <v>136</v>
      </c>
      <c r="H46" s="50" t="s">
        <v>122</v>
      </c>
      <c r="I46" s="51" t="s">
        <v>23</v>
      </c>
      <c r="J46" s="51" t="str">
        <f t="shared" si="0"/>
        <v>X</v>
      </c>
      <c r="K46" s="51" t="str">
        <f t="shared" ca="1" si="1"/>
        <v>X</v>
      </c>
      <c r="L46" s="52">
        <v>12</v>
      </c>
      <c r="M46" s="52"/>
      <c r="N46" s="52"/>
      <c r="O46" s="50"/>
      <c r="P46" s="50" t="s">
        <v>149</v>
      </c>
    </row>
    <row r="47" spans="1:16" ht="16.899999999999999" x14ac:dyDescent="0.6">
      <c r="A47" s="46" t="s">
        <v>163</v>
      </c>
      <c r="B47" s="49" t="s">
        <v>164</v>
      </c>
      <c r="C47" s="48" t="s">
        <v>165</v>
      </c>
      <c r="D47" s="48"/>
      <c r="E47" s="49" t="s">
        <v>166</v>
      </c>
      <c r="F47" s="49" t="s">
        <v>167</v>
      </c>
      <c r="G47" s="50" t="s">
        <v>168</v>
      </c>
      <c r="H47" s="50" t="s">
        <v>169</v>
      </c>
      <c r="I47" s="51">
        <v>44617</v>
      </c>
      <c r="J47" s="51">
        <f t="shared" si="0"/>
        <v>44982</v>
      </c>
      <c r="K47" s="51" t="str">
        <f t="shared" ca="1" si="1"/>
        <v>O</v>
      </c>
      <c r="L47" s="52">
        <v>12</v>
      </c>
      <c r="M47" s="52"/>
      <c r="N47" s="52"/>
      <c r="O47" s="50"/>
      <c r="P47" s="50" t="s">
        <v>132</v>
      </c>
    </row>
    <row r="48" spans="1:16" ht="16.899999999999999" x14ac:dyDescent="0.6">
      <c r="A48" s="38" t="s">
        <v>170</v>
      </c>
      <c r="B48" s="41" t="s">
        <v>171</v>
      </c>
      <c r="C48" s="40" t="s">
        <v>165</v>
      </c>
      <c r="D48" s="40"/>
      <c r="E48" s="41" t="s">
        <v>166</v>
      </c>
      <c r="F48" s="41" t="s">
        <v>167</v>
      </c>
      <c r="G48" s="42" t="s">
        <v>168</v>
      </c>
      <c r="H48" s="42" t="s">
        <v>169</v>
      </c>
      <c r="I48" s="43">
        <v>46035</v>
      </c>
      <c r="J48" s="43">
        <f t="shared" si="0"/>
        <v>46400</v>
      </c>
      <c r="K48" s="43" t="str">
        <f t="shared" ca="1" si="1"/>
        <v>X</v>
      </c>
      <c r="L48" s="44">
        <v>12</v>
      </c>
      <c r="M48" s="44"/>
      <c r="N48" s="44"/>
      <c r="O48" s="42" t="s">
        <v>172</v>
      </c>
      <c r="P48" s="42" t="s">
        <v>132</v>
      </c>
    </row>
    <row r="49" spans="1:16" ht="16.899999999999999" x14ac:dyDescent="0.6">
      <c r="A49" s="46" t="s">
        <v>173</v>
      </c>
      <c r="B49" s="49" t="s">
        <v>174</v>
      </c>
      <c r="C49" s="48" t="s">
        <v>165</v>
      </c>
      <c r="D49" s="48"/>
      <c r="E49" s="49" t="s">
        <v>166</v>
      </c>
      <c r="F49" s="49" t="s">
        <v>167</v>
      </c>
      <c r="G49" s="50" t="s">
        <v>168</v>
      </c>
      <c r="H49" s="50" t="s">
        <v>169</v>
      </c>
      <c r="I49" s="51">
        <v>45439</v>
      </c>
      <c r="J49" s="51">
        <f t="shared" si="0"/>
        <v>45804</v>
      </c>
      <c r="K49" s="51" t="str">
        <f t="shared" ca="1" si="1"/>
        <v>O</v>
      </c>
      <c r="L49" s="52">
        <v>12</v>
      </c>
      <c r="M49" s="52"/>
      <c r="N49" s="52"/>
      <c r="O49" s="50"/>
      <c r="P49" s="50" t="s">
        <v>132</v>
      </c>
    </row>
    <row r="50" spans="1:16" ht="16.899999999999999" x14ac:dyDescent="0.6">
      <c r="A50" s="46" t="s">
        <v>175</v>
      </c>
      <c r="B50" s="49" t="s">
        <v>176</v>
      </c>
      <c r="C50" s="48" t="s">
        <v>165</v>
      </c>
      <c r="D50" s="48"/>
      <c r="E50" s="49" t="s">
        <v>166</v>
      </c>
      <c r="F50" s="49" t="s">
        <v>167</v>
      </c>
      <c r="G50" s="50" t="s">
        <v>168</v>
      </c>
      <c r="H50" s="50" t="s">
        <v>169</v>
      </c>
      <c r="I50" s="51">
        <v>45694</v>
      </c>
      <c r="J50" s="51">
        <f t="shared" si="0"/>
        <v>46059</v>
      </c>
      <c r="K50" s="51" t="str">
        <f t="shared" ca="1" si="1"/>
        <v>O</v>
      </c>
      <c r="L50" s="52">
        <v>12</v>
      </c>
      <c r="M50" s="52"/>
      <c r="N50" s="52"/>
      <c r="O50" s="50"/>
      <c r="P50" s="50" t="s">
        <v>132</v>
      </c>
    </row>
    <row r="51" spans="1:16" ht="16.899999999999999" x14ac:dyDescent="0.6">
      <c r="A51" s="46" t="s">
        <v>177</v>
      </c>
      <c r="B51" s="49" t="s">
        <v>178</v>
      </c>
      <c r="C51" s="48" t="s">
        <v>165</v>
      </c>
      <c r="D51" s="48"/>
      <c r="E51" s="49" t="s">
        <v>179</v>
      </c>
      <c r="F51" s="49" t="s">
        <v>167</v>
      </c>
      <c r="G51" s="50" t="s">
        <v>168</v>
      </c>
      <c r="H51" s="50" t="s">
        <v>169</v>
      </c>
      <c r="I51" s="51">
        <v>46035</v>
      </c>
      <c r="J51" s="51">
        <f t="shared" si="0"/>
        <v>46400</v>
      </c>
      <c r="K51" s="51" t="str">
        <f t="shared" ca="1" si="1"/>
        <v>X</v>
      </c>
      <c r="L51" s="52">
        <v>12</v>
      </c>
      <c r="M51" s="52"/>
      <c r="N51" s="52"/>
      <c r="O51" s="50"/>
      <c r="P51" s="50" t="s">
        <v>132</v>
      </c>
    </row>
    <row r="52" spans="1:16" ht="16.899999999999999" x14ac:dyDescent="0.6">
      <c r="A52" s="46" t="s">
        <v>180</v>
      </c>
      <c r="B52" s="49" t="s">
        <v>181</v>
      </c>
      <c r="C52" s="48" t="s">
        <v>165</v>
      </c>
      <c r="D52" s="48"/>
      <c r="E52" s="49" t="s">
        <v>179</v>
      </c>
      <c r="F52" s="49" t="s">
        <v>167</v>
      </c>
      <c r="G52" s="50" t="s">
        <v>168</v>
      </c>
      <c r="H52" s="50" t="s">
        <v>169</v>
      </c>
      <c r="I52" s="51">
        <v>45623</v>
      </c>
      <c r="J52" s="51">
        <f t="shared" si="0"/>
        <v>45988</v>
      </c>
      <c r="K52" s="51" t="str">
        <f t="shared" ca="1" si="1"/>
        <v>O</v>
      </c>
      <c r="L52" s="52">
        <v>12</v>
      </c>
      <c r="M52" s="52"/>
      <c r="N52" s="52"/>
      <c r="O52" s="50"/>
      <c r="P52" s="50" t="s">
        <v>132</v>
      </c>
    </row>
    <row r="53" spans="1:16" ht="16.899999999999999" x14ac:dyDescent="0.6">
      <c r="A53" s="46" t="s">
        <v>182</v>
      </c>
      <c r="B53" s="49" t="s">
        <v>183</v>
      </c>
      <c r="C53" s="48" t="s">
        <v>165</v>
      </c>
      <c r="D53" s="48"/>
      <c r="E53" s="49" t="s">
        <v>184</v>
      </c>
      <c r="F53" s="49" t="s">
        <v>167</v>
      </c>
      <c r="G53" s="50" t="s">
        <v>168</v>
      </c>
      <c r="H53" s="50" t="s">
        <v>169</v>
      </c>
      <c r="I53" s="51" t="s">
        <v>23</v>
      </c>
      <c r="J53" s="51" t="str">
        <f t="shared" si="0"/>
        <v>X</v>
      </c>
      <c r="K53" s="51" t="str">
        <f t="shared" ca="1" si="1"/>
        <v>X</v>
      </c>
      <c r="L53" s="52">
        <v>12</v>
      </c>
      <c r="M53" s="52"/>
      <c r="N53" s="52"/>
      <c r="O53" s="50"/>
      <c r="P53" s="50" t="s">
        <v>132</v>
      </c>
    </row>
    <row r="54" spans="1:16" ht="16.899999999999999" x14ac:dyDescent="0.6">
      <c r="A54" s="46" t="s">
        <v>185</v>
      </c>
      <c r="B54" s="49" t="s">
        <v>186</v>
      </c>
      <c r="C54" s="48" t="s">
        <v>165</v>
      </c>
      <c r="D54" s="48"/>
      <c r="E54" s="49" t="s">
        <v>187</v>
      </c>
      <c r="F54" s="49" t="s">
        <v>167</v>
      </c>
      <c r="G54" s="50" t="s">
        <v>168</v>
      </c>
      <c r="H54" s="50" t="s">
        <v>169</v>
      </c>
      <c r="I54" s="51">
        <v>45349</v>
      </c>
      <c r="J54" s="51">
        <f t="shared" si="0"/>
        <v>45715</v>
      </c>
      <c r="K54" s="51" t="str">
        <f t="shared" ca="1" si="1"/>
        <v>O</v>
      </c>
      <c r="L54" s="52">
        <v>12</v>
      </c>
      <c r="M54" s="52"/>
      <c r="N54" s="52"/>
      <c r="O54" s="50"/>
      <c r="P54" s="50" t="s">
        <v>132</v>
      </c>
    </row>
    <row r="55" spans="1:16" ht="16.899999999999999" x14ac:dyDescent="0.6">
      <c r="A55" s="46" t="s">
        <v>188</v>
      </c>
      <c r="B55" s="49" t="s">
        <v>189</v>
      </c>
      <c r="C55" s="48" t="s">
        <v>165</v>
      </c>
      <c r="D55" s="48"/>
      <c r="E55" s="49" t="s">
        <v>187</v>
      </c>
      <c r="F55" s="49" t="s">
        <v>167</v>
      </c>
      <c r="G55" s="50" t="s">
        <v>190</v>
      </c>
      <c r="H55" s="50" t="s">
        <v>169</v>
      </c>
      <c r="I55" s="51">
        <v>46035</v>
      </c>
      <c r="J55" s="51">
        <f t="shared" si="0"/>
        <v>46400</v>
      </c>
      <c r="K55" s="51" t="str">
        <f t="shared" ca="1" si="1"/>
        <v>X</v>
      </c>
      <c r="L55" s="52">
        <v>12</v>
      </c>
      <c r="M55" s="52"/>
      <c r="N55" s="52"/>
      <c r="O55" s="50"/>
      <c r="P55" s="50" t="s">
        <v>132</v>
      </c>
    </row>
    <row r="56" spans="1:16" ht="16.899999999999999" x14ac:dyDescent="0.6">
      <c r="A56" s="46" t="s">
        <v>191</v>
      </c>
      <c r="B56" s="49" t="s">
        <v>192</v>
      </c>
      <c r="C56" s="48" t="s">
        <v>165</v>
      </c>
      <c r="D56" s="48"/>
      <c r="E56" s="49" t="s">
        <v>187</v>
      </c>
      <c r="F56" s="49" t="s">
        <v>167</v>
      </c>
      <c r="G56" s="50" t="s">
        <v>190</v>
      </c>
      <c r="H56" s="50" t="s">
        <v>169</v>
      </c>
      <c r="I56" s="51">
        <v>45349</v>
      </c>
      <c r="J56" s="51">
        <f t="shared" si="0"/>
        <v>45715</v>
      </c>
      <c r="K56" s="51" t="str">
        <f t="shared" ca="1" si="1"/>
        <v>O</v>
      </c>
      <c r="L56" s="52">
        <v>12</v>
      </c>
      <c r="M56" s="52"/>
      <c r="N56" s="52"/>
      <c r="O56" s="50"/>
      <c r="P56" s="50" t="s">
        <v>132</v>
      </c>
    </row>
    <row r="57" spans="1:16" ht="16.899999999999999" x14ac:dyDescent="0.6">
      <c r="A57" s="46" t="s">
        <v>193</v>
      </c>
      <c r="B57" s="49" t="s">
        <v>194</v>
      </c>
      <c r="C57" s="48" t="s">
        <v>165</v>
      </c>
      <c r="D57" s="48"/>
      <c r="E57" s="49" t="s">
        <v>195</v>
      </c>
      <c r="F57" s="49" t="s">
        <v>167</v>
      </c>
      <c r="G57" s="50" t="s">
        <v>190</v>
      </c>
      <c r="H57" s="50" t="s">
        <v>169</v>
      </c>
      <c r="I57" s="51">
        <v>46035</v>
      </c>
      <c r="J57" s="51">
        <f t="shared" si="0"/>
        <v>46400</v>
      </c>
      <c r="K57" s="51" t="str">
        <f t="shared" ca="1" si="1"/>
        <v>X</v>
      </c>
      <c r="L57" s="52">
        <v>12</v>
      </c>
      <c r="M57" s="52"/>
      <c r="N57" s="52"/>
      <c r="O57" s="50"/>
      <c r="P57" s="50" t="s">
        <v>132</v>
      </c>
    </row>
    <row r="58" spans="1:16" ht="16.899999999999999" x14ac:dyDescent="0.6">
      <c r="A58" s="46" t="s">
        <v>196</v>
      </c>
      <c r="B58" s="49" t="s">
        <v>197</v>
      </c>
      <c r="C58" s="48" t="s">
        <v>165</v>
      </c>
      <c r="D58" s="48"/>
      <c r="E58" s="49" t="s">
        <v>195</v>
      </c>
      <c r="F58" s="49" t="s">
        <v>167</v>
      </c>
      <c r="G58" s="50" t="s">
        <v>190</v>
      </c>
      <c r="H58" s="50" t="s">
        <v>169</v>
      </c>
      <c r="I58" s="51">
        <v>45439</v>
      </c>
      <c r="J58" s="51">
        <f t="shared" si="0"/>
        <v>45804</v>
      </c>
      <c r="K58" s="51" t="str">
        <f t="shared" ca="1" si="1"/>
        <v>O</v>
      </c>
      <c r="L58" s="52">
        <v>12</v>
      </c>
      <c r="M58" s="52"/>
      <c r="N58" s="52"/>
      <c r="O58" s="50"/>
      <c r="P58" s="50" t="s">
        <v>132</v>
      </c>
    </row>
    <row r="59" spans="1:16" ht="16.899999999999999" x14ac:dyDescent="0.6">
      <c r="A59" s="46" t="s">
        <v>198</v>
      </c>
      <c r="B59" s="49" t="s">
        <v>199</v>
      </c>
      <c r="C59" s="48" t="s">
        <v>165</v>
      </c>
      <c r="D59" s="48"/>
      <c r="E59" s="49" t="s">
        <v>195</v>
      </c>
      <c r="F59" s="49" t="s">
        <v>167</v>
      </c>
      <c r="G59" s="50" t="s">
        <v>190</v>
      </c>
      <c r="H59" s="50" t="s">
        <v>169</v>
      </c>
      <c r="I59" s="51" t="s">
        <v>23</v>
      </c>
      <c r="J59" s="51" t="str">
        <f t="shared" si="0"/>
        <v>X</v>
      </c>
      <c r="K59" s="51" t="str">
        <f t="shared" ca="1" si="1"/>
        <v>X</v>
      </c>
      <c r="L59" s="52">
        <v>12</v>
      </c>
      <c r="M59" s="52"/>
      <c r="N59" s="52"/>
      <c r="O59" s="50"/>
      <c r="P59" s="50" t="s">
        <v>132</v>
      </c>
    </row>
    <row r="60" spans="1:16" ht="16.899999999999999" x14ac:dyDescent="0.6">
      <c r="A60" s="46" t="s">
        <v>200</v>
      </c>
      <c r="B60" s="49" t="s">
        <v>201</v>
      </c>
      <c r="C60" s="48" t="s">
        <v>165</v>
      </c>
      <c r="D60" s="48"/>
      <c r="E60" s="49" t="s">
        <v>202</v>
      </c>
      <c r="F60" s="49" t="s">
        <v>167</v>
      </c>
      <c r="G60" s="50" t="s">
        <v>190</v>
      </c>
      <c r="H60" s="50" t="s">
        <v>169</v>
      </c>
      <c r="I60" s="51">
        <v>45623</v>
      </c>
      <c r="J60" s="51">
        <f t="shared" si="0"/>
        <v>45988</v>
      </c>
      <c r="K60" s="51" t="str">
        <f t="shared" ca="1" si="1"/>
        <v>O</v>
      </c>
      <c r="L60" s="52">
        <v>12</v>
      </c>
      <c r="M60" s="52"/>
      <c r="N60" s="52"/>
      <c r="O60" s="50"/>
      <c r="P60" s="50" t="s">
        <v>132</v>
      </c>
    </row>
    <row r="61" spans="1:16" ht="16.899999999999999" x14ac:dyDescent="0.6">
      <c r="A61" s="46" t="s">
        <v>203</v>
      </c>
      <c r="B61" s="49" t="s">
        <v>204</v>
      </c>
      <c r="C61" s="48" t="s">
        <v>165</v>
      </c>
      <c r="D61" s="48"/>
      <c r="E61" s="49" t="s">
        <v>205</v>
      </c>
      <c r="F61" s="49" t="s">
        <v>167</v>
      </c>
      <c r="G61" s="50" t="s">
        <v>168</v>
      </c>
      <c r="H61" s="50" t="s">
        <v>169</v>
      </c>
      <c r="I61" s="51">
        <v>45439</v>
      </c>
      <c r="J61" s="51">
        <f t="shared" si="0"/>
        <v>45804</v>
      </c>
      <c r="K61" s="51" t="str">
        <f t="shared" ca="1" si="1"/>
        <v>O</v>
      </c>
      <c r="L61" s="52">
        <v>12</v>
      </c>
      <c r="M61" s="52"/>
      <c r="N61" s="52"/>
      <c r="O61" s="50"/>
      <c r="P61" s="50" t="s">
        <v>132</v>
      </c>
    </row>
    <row r="62" spans="1:16" ht="16.899999999999999" x14ac:dyDescent="0.6">
      <c r="A62" s="46" t="s">
        <v>206</v>
      </c>
      <c r="B62" s="49" t="s">
        <v>207</v>
      </c>
      <c r="C62" s="48" t="s">
        <v>165</v>
      </c>
      <c r="D62" s="48"/>
      <c r="E62" s="49" t="s">
        <v>205</v>
      </c>
      <c r="F62" s="49" t="s">
        <v>167</v>
      </c>
      <c r="G62" s="50" t="s">
        <v>168</v>
      </c>
      <c r="H62" s="50" t="s">
        <v>169</v>
      </c>
      <c r="I62" s="51">
        <v>45694</v>
      </c>
      <c r="J62" s="51">
        <f t="shared" si="0"/>
        <v>46059</v>
      </c>
      <c r="K62" s="51" t="str">
        <f t="shared" ca="1" si="1"/>
        <v>O</v>
      </c>
      <c r="L62" s="52">
        <v>12</v>
      </c>
      <c r="M62" s="52"/>
      <c r="N62" s="52"/>
      <c r="O62" s="50"/>
      <c r="P62" s="50" t="s">
        <v>132</v>
      </c>
    </row>
    <row r="63" spans="1:16" ht="16.899999999999999" x14ac:dyDescent="0.6">
      <c r="A63" s="46" t="s">
        <v>208</v>
      </c>
      <c r="B63" s="49" t="s">
        <v>209</v>
      </c>
      <c r="C63" s="48" t="s">
        <v>165</v>
      </c>
      <c r="D63" s="48"/>
      <c r="E63" s="49" t="s">
        <v>205</v>
      </c>
      <c r="F63" s="49" t="s">
        <v>167</v>
      </c>
      <c r="G63" s="50" t="s">
        <v>190</v>
      </c>
      <c r="H63" s="50" t="s">
        <v>169</v>
      </c>
      <c r="I63" s="51">
        <v>46035</v>
      </c>
      <c r="J63" s="51">
        <f t="shared" si="0"/>
        <v>46400</v>
      </c>
      <c r="K63" s="51" t="str">
        <f t="shared" ca="1" si="1"/>
        <v>X</v>
      </c>
      <c r="L63" s="52">
        <v>12</v>
      </c>
      <c r="M63" s="52"/>
      <c r="N63" s="52"/>
      <c r="O63" s="50"/>
      <c r="P63" s="50" t="s">
        <v>132</v>
      </c>
    </row>
    <row r="64" spans="1:16" ht="16.899999999999999" x14ac:dyDescent="0.6">
      <c r="A64" s="19" t="s">
        <v>210</v>
      </c>
      <c r="B64" s="20" t="s">
        <v>211</v>
      </c>
      <c r="C64" s="36" t="s">
        <v>212</v>
      </c>
      <c r="D64" s="36"/>
      <c r="E64" s="23" t="s">
        <v>213</v>
      </c>
      <c r="F64" s="23" t="s">
        <v>147</v>
      </c>
      <c r="G64" s="24" t="s">
        <v>148</v>
      </c>
      <c r="H64" s="24" t="s">
        <v>214</v>
      </c>
      <c r="I64" s="25" t="s">
        <v>23</v>
      </c>
      <c r="J64" s="25" t="str">
        <f t="shared" si="0"/>
        <v>X</v>
      </c>
      <c r="K64" s="25" t="str">
        <f t="shared" ca="1" si="1"/>
        <v>X</v>
      </c>
      <c r="L64" s="26">
        <v>12</v>
      </c>
      <c r="M64" s="26"/>
      <c r="N64" s="26"/>
      <c r="O64" s="24" t="s">
        <v>63</v>
      </c>
      <c r="P64" s="24" t="s">
        <v>132</v>
      </c>
    </row>
    <row r="65" spans="1:16" ht="16.899999999999999" x14ac:dyDescent="0.6">
      <c r="A65" s="19" t="s">
        <v>215</v>
      </c>
      <c r="B65" s="20" t="s">
        <v>216</v>
      </c>
      <c r="C65" s="36" t="s">
        <v>139</v>
      </c>
      <c r="D65" s="36"/>
      <c r="E65" s="23" t="s">
        <v>146</v>
      </c>
      <c r="F65" s="23" t="s">
        <v>147</v>
      </c>
      <c r="G65" s="24" t="s">
        <v>148</v>
      </c>
      <c r="H65" s="24" t="s">
        <v>214</v>
      </c>
      <c r="I65" s="25" t="s">
        <v>23</v>
      </c>
      <c r="J65" s="25" t="str">
        <f t="shared" si="0"/>
        <v>X</v>
      </c>
      <c r="K65" s="25" t="str">
        <f t="shared" ca="1" si="1"/>
        <v>X</v>
      </c>
      <c r="L65" s="26">
        <v>12</v>
      </c>
      <c r="M65" s="26"/>
      <c r="N65" s="26"/>
      <c r="O65" s="24" t="s">
        <v>63</v>
      </c>
      <c r="P65" s="24" t="s">
        <v>132</v>
      </c>
    </row>
    <row r="66" spans="1:16" ht="16.899999999999999" x14ac:dyDescent="0.6">
      <c r="A66" s="19" t="s">
        <v>217</v>
      </c>
      <c r="B66" s="20" t="s">
        <v>218</v>
      </c>
      <c r="C66" s="36" t="s">
        <v>212</v>
      </c>
      <c r="D66" s="36"/>
      <c r="E66" s="23" t="s">
        <v>213</v>
      </c>
      <c r="F66" s="23" t="s">
        <v>147</v>
      </c>
      <c r="G66" s="24" t="s">
        <v>148</v>
      </c>
      <c r="H66" s="24" t="s">
        <v>122</v>
      </c>
      <c r="I66" s="25" t="s">
        <v>23</v>
      </c>
      <c r="J66" s="25" t="str">
        <f t="shared" ref="J66:J129" si="2">IF(ISNUMBER(I66),EDATE(I66,L66),"X")</f>
        <v>X</v>
      </c>
      <c r="K66" s="25" t="str">
        <f t="shared" ref="K66:K129" ca="1" si="3">IF(J66="X","X",IF(ISNUMBER(J66),IF(J66&lt;TODAY(),"O","X"),"X"))</f>
        <v>X</v>
      </c>
      <c r="L66" s="26">
        <v>12</v>
      </c>
      <c r="M66" s="26"/>
      <c r="N66" s="26"/>
      <c r="O66" s="24" t="s">
        <v>63</v>
      </c>
      <c r="P66" s="24" t="s">
        <v>132</v>
      </c>
    </row>
    <row r="67" spans="1:16" ht="16.899999999999999" x14ac:dyDescent="0.6">
      <c r="A67" s="19" t="s">
        <v>219</v>
      </c>
      <c r="B67" s="20" t="s">
        <v>220</v>
      </c>
      <c r="C67" s="36" t="s">
        <v>212</v>
      </c>
      <c r="D67" s="36"/>
      <c r="E67" s="23" t="s">
        <v>221</v>
      </c>
      <c r="F67" s="23" t="s">
        <v>147</v>
      </c>
      <c r="G67" s="24" t="s">
        <v>148</v>
      </c>
      <c r="H67" s="24" t="s">
        <v>122</v>
      </c>
      <c r="I67" s="25" t="s">
        <v>23</v>
      </c>
      <c r="J67" s="25" t="str">
        <f t="shared" si="2"/>
        <v>X</v>
      </c>
      <c r="K67" s="25" t="str">
        <f t="shared" ca="1" si="3"/>
        <v>X</v>
      </c>
      <c r="L67" s="26">
        <v>12</v>
      </c>
      <c r="M67" s="26"/>
      <c r="N67" s="26"/>
      <c r="O67" s="24" t="s">
        <v>63</v>
      </c>
      <c r="P67" s="24" t="s">
        <v>132</v>
      </c>
    </row>
    <row r="68" spans="1:16" ht="16.899999999999999" x14ac:dyDescent="0.6">
      <c r="A68" s="46" t="s">
        <v>222</v>
      </c>
      <c r="B68" s="47" t="s">
        <v>223</v>
      </c>
      <c r="C68" s="48" t="s">
        <v>165</v>
      </c>
      <c r="D68" s="48"/>
      <c r="E68" s="49" t="s">
        <v>224</v>
      </c>
      <c r="F68" s="49" t="s">
        <v>167</v>
      </c>
      <c r="G68" s="50" t="s">
        <v>168</v>
      </c>
      <c r="H68" s="50" t="s">
        <v>169</v>
      </c>
      <c r="I68" s="51">
        <v>45694</v>
      </c>
      <c r="J68" s="51">
        <f t="shared" si="2"/>
        <v>46059</v>
      </c>
      <c r="K68" s="51" t="str">
        <f t="shared" ca="1" si="3"/>
        <v>O</v>
      </c>
      <c r="L68" s="52">
        <v>12</v>
      </c>
      <c r="M68" s="52"/>
      <c r="N68" s="52"/>
      <c r="O68" s="50"/>
      <c r="P68" s="50" t="s">
        <v>132</v>
      </c>
    </row>
    <row r="69" spans="1:16" ht="16.899999999999999" x14ac:dyDescent="0.6">
      <c r="A69" s="46" t="s">
        <v>225</v>
      </c>
      <c r="B69" s="47" t="s">
        <v>226</v>
      </c>
      <c r="C69" s="48" t="s">
        <v>165</v>
      </c>
      <c r="D69" s="48"/>
      <c r="E69" s="49" t="s">
        <v>179</v>
      </c>
      <c r="F69" s="49" t="s">
        <v>167</v>
      </c>
      <c r="G69" s="50" t="s">
        <v>168</v>
      </c>
      <c r="H69" s="50" t="s">
        <v>169</v>
      </c>
      <c r="I69" s="51" t="s">
        <v>23</v>
      </c>
      <c r="J69" s="51" t="str">
        <f t="shared" si="2"/>
        <v>X</v>
      </c>
      <c r="K69" s="51" t="str">
        <f t="shared" ca="1" si="3"/>
        <v>X</v>
      </c>
      <c r="L69" s="52">
        <v>12</v>
      </c>
      <c r="M69" s="52"/>
      <c r="N69" s="52"/>
      <c r="O69" s="50"/>
      <c r="P69" s="50" t="s">
        <v>132</v>
      </c>
    </row>
    <row r="70" spans="1:16" ht="16.899999999999999" x14ac:dyDescent="0.6">
      <c r="A70" s="6" t="s">
        <v>227</v>
      </c>
      <c r="B70" s="7" t="s">
        <v>228</v>
      </c>
      <c r="C70" s="37" t="s">
        <v>165</v>
      </c>
      <c r="D70" s="37"/>
      <c r="E70" s="9" t="s">
        <v>229</v>
      </c>
      <c r="F70" s="9" t="s">
        <v>167</v>
      </c>
      <c r="G70" s="10" t="s">
        <v>168</v>
      </c>
      <c r="H70" s="10" t="s">
        <v>230</v>
      </c>
      <c r="I70" s="11">
        <v>46035</v>
      </c>
      <c r="J70" s="11">
        <f t="shared" si="2"/>
        <v>46400</v>
      </c>
      <c r="K70" s="11" t="str">
        <f t="shared" ca="1" si="3"/>
        <v>X</v>
      </c>
      <c r="L70" s="12">
        <v>12</v>
      </c>
      <c r="M70" s="12"/>
      <c r="N70" s="12"/>
      <c r="O70" s="10"/>
      <c r="P70" s="10" t="s">
        <v>132</v>
      </c>
    </row>
    <row r="71" spans="1:16" ht="16.899999999999999" x14ac:dyDescent="0.6">
      <c r="A71" s="6" t="s">
        <v>231</v>
      </c>
      <c r="B71" s="7" t="s">
        <v>232</v>
      </c>
      <c r="C71" s="37" t="s">
        <v>165</v>
      </c>
      <c r="D71" s="37"/>
      <c r="E71" s="9" t="s">
        <v>202</v>
      </c>
      <c r="F71" s="9" t="s">
        <v>167</v>
      </c>
      <c r="G71" s="10" t="s">
        <v>168</v>
      </c>
      <c r="H71" s="10" t="s">
        <v>169</v>
      </c>
      <c r="I71" s="11">
        <v>46035</v>
      </c>
      <c r="J71" s="11">
        <f t="shared" si="2"/>
        <v>46400</v>
      </c>
      <c r="K71" s="11" t="str">
        <f t="shared" ca="1" si="3"/>
        <v>X</v>
      </c>
      <c r="L71" s="12">
        <v>12</v>
      </c>
      <c r="M71" s="12"/>
      <c r="N71" s="12"/>
      <c r="O71" s="10"/>
      <c r="P71" s="10" t="s">
        <v>132</v>
      </c>
    </row>
    <row r="72" spans="1:16" ht="16.899999999999999" x14ac:dyDescent="0.6">
      <c r="A72" s="46" t="s">
        <v>233</v>
      </c>
      <c r="B72" s="47" t="s">
        <v>234</v>
      </c>
      <c r="C72" s="48" t="s">
        <v>165</v>
      </c>
      <c r="D72" s="48"/>
      <c r="E72" s="49" t="s">
        <v>202</v>
      </c>
      <c r="F72" s="49" t="s">
        <v>167</v>
      </c>
      <c r="G72" s="50" t="s">
        <v>168</v>
      </c>
      <c r="H72" s="50" t="s">
        <v>169</v>
      </c>
      <c r="I72" s="51" t="s">
        <v>23</v>
      </c>
      <c r="J72" s="51" t="str">
        <f t="shared" si="2"/>
        <v>X</v>
      </c>
      <c r="K72" s="51" t="str">
        <f t="shared" ca="1" si="3"/>
        <v>X</v>
      </c>
      <c r="L72" s="52">
        <v>12</v>
      </c>
      <c r="M72" s="52"/>
      <c r="N72" s="52"/>
      <c r="O72" s="50"/>
      <c r="P72" s="50" t="s">
        <v>132</v>
      </c>
    </row>
    <row r="73" spans="1:16" ht="16.899999999999999" x14ac:dyDescent="0.6">
      <c r="A73" s="6" t="s">
        <v>235</v>
      </c>
      <c r="B73" s="7" t="s">
        <v>236</v>
      </c>
      <c r="C73" s="37" t="s">
        <v>165</v>
      </c>
      <c r="D73" s="37"/>
      <c r="E73" s="9" t="s">
        <v>229</v>
      </c>
      <c r="F73" s="9" t="s">
        <v>167</v>
      </c>
      <c r="G73" s="10" t="s">
        <v>168</v>
      </c>
      <c r="H73" s="10" t="s">
        <v>230</v>
      </c>
      <c r="I73" s="11">
        <v>46127</v>
      </c>
      <c r="J73" s="11">
        <f t="shared" si="2"/>
        <v>46492</v>
      </c>
      <c r="K73" s="11" t="str">
        <f t="shared" ca="1" si="3"/>
        <v>X</v>
      </c>
      <c r="L73" s="12">
        <v>12</v>
      </c>
      <c r="M73" s="12"/>
      <c r="N73" s="12"/>
      <c r="O73" s="10"/>
      <c r="P73" s="10" t="s">
        <v>132</v>
      </c>
    </row>
    <row r="74" spans="1:16" ht="16.899999999999999" x14ac:dyDescent="0.6">
      <c r="A74" s="46" t="s">
        <v>237</v>
      </c>
      <c r="B74" s="47" t="s">
        <v>238</v>
      </c>
      <c r="C74" s="54" t="s">
        <v>212</v>
      </c>
      <c r="D74" s="54"/>
      <c r="E74" s="49" t="s">
        <v>213</v>
      </c>
      <c r="F74" s="49" t="s">
        <v>239</v>
      </c>
      <c r="G74" s="50" t="s">
        <v>168</v>
      </c>
      <c r="H74" s="50" t="s">
        <v>169</v>
      </c>
      <c r="I74" s="51" t="s">
        <v>23</v>
      </c>
      <c r="J74" s="51" t="str">
        <f t="shared" si="2"/>
        <v>X</v>
      </c>
      <c r="K74" s="51" t="str">
        <f t="shared" ca="1" si="3"/>
        <v>X</v>
      </c>
      <c r="L74" s="52">
        <v>12</v>
      </c>
      <c r="M74" s="52"/>
      <c r="N74" s="52"/>
      <c r="O74" s="50"/>
      <c r="P74" s="50" t="s">
        <v>149</v>
      </c>
    </row>
    <row r="75" spans="1:16" ht="16.899999999999999" x14ac:dyDescent="0.6">
      <c r="A75" s="46" t="s">
        <v>240</v>
      </c>
      <c r="B75" s="47" t="s">
        <v>241</v>
      </c>
      <c r="C75" s="54" t="s">
        <v>139</v>
      </c>
      <c r="D75" s="54"/>
      <c r="E75" s="49" t="s">
        <v>242</v>
      </c>
      <c r="F75" s="49" t="s">
        <v>243</v>
      </c>
      <c r="G75" s="50" t="s">
        <v>168</v>
      </c>
      <c r="H75" s="50" t="s">
        <v>169</v>
      </c>
      <c r="I75" s="51" t="s">
        <v>23</v>
      </c>
      <c r="J75" s="51" t="str">
        <f t="shared" si="2"/>
        <v>X</v>
      </c>
      <c r="K75" s="51" t="str">
        <f t="shared" ca="1" si="3"/>
        <v>X</v>
      </c>
      <c r="L75" s="52">
        <v>12</v>
      </c>
      <c r="M75" s="52"/>
      <c r="N75" s="52"/>
      <c r="O75" s="50"/>
      <c r="P75" s="50" t="s">
        <v>149</v>
      </c>
    </row>
    <row r="76" spans="1:16" ht="16.899999999999999" x14ac:dyDescent="0.6">
      <c r="A76" s="46" t="s">
        <v>244</v>
      </c>
      <c r="B76" s="47" t="s">
        <v>245</v>
      </c>
      <c r="C76" s="54" t="s">
        <v>212</v>
      </c>
      <c r="D76" s="54"/>
      <c r="E76" s="49" t="s">
        <v>246</v>
      </c>
      <c r="F76" s="49" t="s">
        <v>243</v>
      </c>
      <c r="G76" s="50"/>
      <c r="H76" s="50"/>
      <c r="I76" s="51" t="s">
        <v>23</v>
      </c>
      <c r="J76" s="51" t="str">
        <f t="shared" si="2"/>
        <v>X</v>
      </c>
      <c r="K76" s="51" t="str">
        <f t="shared" ca="1" si="3"/>
        <v>X</v>
      </c>
      <c r="L76" s="52">
        <v>12</v>
      </c>
      <c r="M76" s="52"/>
      <c r="N76" s="52"/>
      <c r="O76" s="50"/>
      <c r="P76" s="50" t="s">
        <v>149</v>
      </c>
    </row>
    <row r="77" spans="1:16" ht="16.899999999999999" x14ac:dyDescent="0.6">
      <c r="A77" s="55" t="s">
        <v>247</v>
      </c>
      <c r="B77" s="56"/>
      <c r="C77" s="57" t="s">
        <v>248</v>
      </c>
      <c r="D77" s="57"/>
      <c r="E77" s="58" t="s">
        <v>249</v>
      </c>
      <c r="F77" s="58" t="s">
        <v>250</v>
      </c>
      <c r="G77" s="59" t="s">
        <v>251</v>
      </c>
      <c r="H77" s="59" t="s">
        <v>251</v>
      </c>
      <c r="I77" s="60" t="s">
        <v>23</v>
      </c>
      <c r="J77" s="60" t="str">
        <f t="shared" si="2"/>
        <v>X</v>
      </c>
      <c r="K77" s="60" t="str">
        <f t="shared" ca="1" si="3"/>
        <v>X</v>
      </c>
      <c r="L77" s="61">
        <v>12</v>
      </c>
      <c r="M77" s="61"/>
      <c r="N77" s="61"/>
      <c r="O77" s="59" t="s">
        <v>252</v>
      </c>
      <c r="P77" s="59" t="s">
        <v>149</v>
      </c>
    </row>
    <row r="78" spans="1:16" ht="16.899999999999999" x14ac:dyDescent="0.6">
      <c r="A78" s="46" t="s">
        <v>253</v>
      </c>
      <c r="B78" s="62">
        <v>705.00199999999995</v>
      </c>
      <c r="C78" s="54" t="s">
        <v>254</v>
      </c>
      <c r="D78" s="54"/>
      <c r="E78" s="49" t="s">
        <v>255</v>
      </c>
      <c r="F78" s="49" t="s">
        <v>256</v>
      </c>
      <c r="G78" s="50" t="s">
        <v>168</v>
      </c>
      <c r="H78" s="50" t="s">
        <v>169</v>
      </c>
      <c r="I78" s="51" t="s">
        <v>23</v>
      </c>
      <c r="J78" s="51" t="str">
        <f t="shared" si="2"/>
        <v>X</v>
      </c>
      <c r="K78" s="51" t="str">
        <f t="shared" ca="1" si="3"/>
        <v>X</v>
      </c>
      <c r="L78" s="52">
        <v>12</v>
      </c>
      <c r="M78" s="52"/>
      <c r="N78" s="52"/>
      <c r="O78" s="50" t="s">
        <v>252</v>
      </c>
      <c r="P78" s="50" t="s">
        <v>149</v>
      </c>
    </row>
    <row r="79" spans="1:16" ht="16.899999999999999" x14ac:dyDescent="0.6">
      <c r="A79" s="19" t="s">
        <v>257</v>
      </c>
      <c r="B79" s="23" t="s">
        <v>258</v>
      </c>
      <c r="C79" s="63" t="s">
        <v>259</v>
      </c>
      <c r="D79" s="63"/>
      <c r="E79" s="23" t="s">
        <v>260</v>
      </c>
      <c r="F79" s="23" t="s">
        <v>261</v>
      </c>
      <c r="G79" s="24" t="s">
        <v>168</v>
      </c>
      <c r="H79" s="24" t="s">
        <v>169</v>
      </c>
      <c r="I79" s="25" t="s">
        <v>23</v>
      </c>
      <c r="J79" s="25" t="str">
        <f t="shared" si="2"/>
        <v>X</v>
      </c>
      <c r="K79" s="25" t="str">
        <f t="shared" ca="1" si="3"/>
        <v>X</v>
      </c>
      <c r="L79" s="26">
        <v>12</v>
      </c>
      <c r="M79" s="26"/>
      <c r="N79" s="26"/>
      <c r="O79" s="24" t="s">
        <v>262</v>
      </c>
      <c r="P79" s="24" t="s">
        <v>149</v>
      </c>
    </row>
    <row r="80" spans="1:16" ht="16.899999999999999" x14ac:dyDescent="0.6">
      <c r="A80" s="46" t="s">
        <v>263</v>
      </c>
      <c r="B80" s="49" t="s">
        <v>264</v>
      </c>
      <c r="C80" s="54" t="s">
        <v>265</v>
      </c>
      <c r="D80" s="54"/>
      <c r="E80" s="49" t="s">
        <v>266</v>
      </c>
      <c r="F80" s="49" t="s">
        <v>267</v>
      </c>
      <c r="G80" s="50" t="s">
        <v>168</v>
      </c>
      <c r="H80" s="50" t="s">
        <v>169</v>
      </c>
      <c r="I80" s="51" t="s">
        <v>23</v>
      </c>
      <c r="J80" s="51" t="str">
        <f t="shared" si="2"/>
        <v>X</v>
      </c>
      <c r="K80" s="51" t="str">
        <f t="shared" ca="1" si="3"/>
        <v>X</v>
      </c>
      <c r="L80" s="52">
        <v>12</v>
      </c>
      <c r="M80" s="52"/>
      <c r="N80" s="52"/>
      <c r="O80" s="50" t="s">
        <v>252</v>
      </c>
      <c r="P80" s="50" t="s">
        <v>149</v>
      </c>
    </row>
    <row r="81" spans="1:16" ht="16.899999999999999" x14ac:dyDescent="0.6">
      <c r="A81" s="64" t="s">
        <v>268</v>
      </c>
      <c r="B81" s="9" t="s">
        <v>269</v>
      </c>
      <c r="C81" s="8" t="s">
        <v>270</v>
      </c>
      <c r="D81" s="8"/>
      <c r="E81" s="9" t="s">
        <v>271</v>
      </c>
      <c r="F81" s="9" t="s">
        <v>272</v>
      </c>
      <c r="G81" s="10" t="s">
        <v>168</v>
      </c>
      <c r="H81" s="10" t="s">
        <v>273</v>
      </c>
      <c r="I81" s="11" t="s">
        <v>23</v>
      </c>
      <c r="J81" s="11" t="str">
        <f t="shared" si="2"/>
        <v>X</v>
      </c>
      <c r="K81" s="11" t="str">
        <f t="shared" ca="1" si="3"/>
        <v>X</v>
      </c>
      <c r="L81" s="12">
        <v>12</v>
      </c>
      <c r="M81" s="12"/>
      <c r="N81" s="12"/>
      <c r="O81" s="10" t="s">
        <v>252</v>
      </c>
      <c r="P81" s="10" t="s">
        <v>149</v>
      </c>
    </row>
    <row r="82" spans="1:16" ht="16.899999999999999" x14ac:dyDescent="0.6">
      <c r="A82" s="6" t="s">
        <v>274</v>
      </c>
      <c r="B82" s="9" t="s">
        <v>275</v>
      </c>
      <c r="C82" s="8" t="s">
        <v>276</v>
      </c>
      <c r="D82" s="8"/>
      <c r="E82" s="9" t="s">
        <v>277</v>
      </c>
      <c r="F82" s="9" t="s">
        <v>272</v>
      </c>
      <c r="G82" s="10" t="s">
        <v>168</v>
      </c>
      <c r="H82" s="10" t="s">
        <v>169</v>
      </c>
      <c r="I82" s="11" t="s">
        <v>23</v>
      </c>
      <c r="J82" s="11" t="str">
        <f t="shared" si="2"/>
        <v>X</v>
      </c>
      <c r="K82" s="11" t="str">
        <f t="shared" ca="1" si="3"/>
        <v>X</v>
      </c>
      <c r="L82" s="12">
        <v>12</v>
      </c>
      <c r="M82" s="12"/>
      <c r="N82" s="12"/>
      <c r="O82" s="10" t="s">
        <v>252</v>
      </c>
      <c r="P82" s="10" t="s">
        <v>149</v>
      </c>
    </row>
    <row r="83" spans="1:16" ht="16.899999999999999" x14ac:dyDescent="0.6">
      <c r="A83" s="46" t="s">
        <v>278</v>
      </c>
      <c r="B83" s="49" t="s">
        <v>279</v>
      </c>
      <c r="C83" s="54" t="s">
        <v>280</v>
      </c>
      <c r="D83" s="54"/>
      <c r="E83" s="49" t="s">
        <v>281</v>
      </c>
      <c r="F83" s="49" t="s">
        <v>282</v>
      </c>
      <c r="G83" s="50" t="s">
        <v>168</v>
      </c>
      <c r="H83" s="50" t="s">
        <v>169</v>
      </c>
      <c r="I83" s="51" t="s">
        <v>23</v>
      </c>
      <c r="J83" s="51" t="str">
        <f t="shared" si="2"/>
        <v>X</v>
      </c>
      <c r="K83" s="51" t="str">
        <f t="shared" ca="1" si="3"/>
        <v>X</v>
      </c>
      <c r="L83" s="52">
        <v>12</v>
      </c>
      <c r="M83" s="52"/>
      <c r="N83" s="52"/>
      <c r="O83" s="50" t="s">
        <v>252</v>
      </c>
      <c r="P83" s="50" t="s">
        <v>149</v>
      </c>
    </row>
    <row r="84" spans="1:16" ht="16.899999999999999" x14ac:dyDescent="0.6">
      <c r="A84" s="46" t="s">
        <v>283</v>
      </c>
      <c r="B84" s="49" t="s">
        <v>284</v>
      </c>
      <c r="C84" s="54" t="s">
        <v>285</v>
      </c>
      <c r="D84" s="54"/>
      <c r="E84" s="49" t="s">
        <v>286</v>
      </c>
      <c r="F84" s="49" t="s">
        <v>287</v>
      </c>
      <c r="G84" s="50" t="s">
        <v>168</v>
      </c>
      <c r="H84" s="50" t="s">
        <v>169</v>
      </c>
      <c r="I84" s="51" t="s">
        <v>23</v>
      </c>
      <c r="J84" s="51" t="str">
        <f t="shared" si="2"/>
        <v>X</v>
      </c>
      <c r="K84" s="51" t="str">
        <f t="shared" ca="1" si="3"/>
        <v>X</v>
      </c>
      <c r="L84" s="52">
        <v>12</v>
      </c>
      <c r="M84" s="52"/>
      <c r="N84" s="52"/>
      <c r="O84" s="50" t="s">
        <v>252</v>
      </c>
      <c r="P84" s="50" t="s">
        <v>149</v>
      </c>
    </row>
    <row r="85" spans="1:16" ht="16.899999999999999" x14ac:dyDescent="0.6">
      <c r="A85" s="46" t="s">
        <v>288</v>
      </c>
      <c r="B85" s="49" t="s">
        <v>289</v>
      </c>
      <c r="C85" s="54" t="s">
        <v>290</v>
      </c>
      <c r="D85" s="54"/>
      <c r="E85" s="49" t="s">
        <v>291</v>
      </c>
      <c r="F85" s="49" t="s">
        <v>292</v>
      </c>
      <c r="G85" s="50" t="s">
        <v>168</v>
      </c>
      <c r="H85" s="50" t="s">
        <v>169</v>
      </c>
      <c r="I85" s="51" t="s">
        <v>23</v>
      </c>
      <c r="J85" s="51" t="str">
        <f t="shared" si="2"/>
        <v>X</v>
      </c>
      <c r="K85" s="51" t="str">
        <f t="shared" ca="1" si="3"/>
        <v>X</v>
      </c>
      <c r="L85" s="52">
        <v>12</v>
      </c>
      <c r="M85" s="52"/>
      <c r="N85" s="52"/>
      <c r="O85" s="50" t="s">
        <v>252</v>
      </c>
      <c r="P85" s="50" t="s">
        <v>149</v>
      </c>
    </row>
    <row r="86" spans="1:16" ht="16.899999999999999" x14ac:dyDescent="0.6">
      <c r="A86" s="46" t="s">
        <v>293</v>
      </c>
      <c r="B86" s="49" t="s">
        <v>294</v>
      </c>
      <c r="C86" s="54" t="s">
        <v>254</v>
      </c>
      <c r="D86" s="54"/>
      <c r="E86" s="49" t="s">
        <v>295</v>
      </c>
      <c r="F86" s="49" t="s">
        <v>296</v>
      </c>
      <c r="G86" s="50" t="s">
        <v>168</v>
      </c>
      <c r="H86" s="50" t="s">
        <v>169</v>
      </c>
      <c r="I86" s="51" t="s">
        <v>23</v>
      </c>
      <c r="J86" s="51" t="str">
        <f t="shared" si="2"/>
        <v>X</v>
      </c>
      <c r="K86" s="51" t="str">
        <f t="shared" ca="1" si="3"/>
        <v>X</v>
      </c>
      <c r="L86" s="52">
        <v>12</v>
      </c>
      <c r="M86" s="52"/>
      <c r="N86" s="52"/>
      <c r="O86" s="50" t="s">
        <v>252</v>
      </c>
      <c r="P86" s="50" t="s">
        <v>149</v>
      </c>
    </row>
    <row r="87" spans="1:16" ht="16.899999999999999" x14ac:dyDescent="0.6">
      <c r="A87" s="46" t="s">
        <v>297</v>
      </c>
      <c r="B87" s="49" t="s">
        <v>298</v>
      </c>
      <c r="C87" s="54" t="s">
        <v>254</v>
      </c>
      <c r="D87" s="54"/>
      <c r="E87" s="49" t="s">
        <v>295</v>
      </c>
      <c r="F87" s="49" t="s">
        <v>296</v>
      </c>
      <c r="G87" s="50" t="s">
        <v>168</v>
      </c>
      <c r="H87" s="50" t="s">
        <v>169</v>
      </c>
      <c r="I87" s="51" t="s">
        <v>23</v>
      </c>
      <c r="J87" s="51" t="str">
        <f t="shared" si="2"/>
        <v>X</v>
      </c>
      <c r="K87" s="51" t="str">
        <f t="shared" ca="1" si="3"/>
        <v>X</v>
      </c>
      <c r="L87" s="52">
        <v>12</v>
      </c>
      <c r="M87" s="52"/>
      <c r="N87" s="52"/>
      <c r="O87" s="50" t="s">
        <v>252</v>
      </c>
      <c r="P87" s="50" t="s">
        <v>149</v>
      </c>
    </row>
    <row r="88" spans="1:16" ht="16.899999999999999" x14ac:dyDescent="0.6">
      <c r="A88" s="46" t="s">
        <v>299</v>
      </c>
      <c r="B88" s="49" t="s">
        <v>300</v>
      </c>
      <c r="C88" s="54" t="s">
        <v>254</v>
      </c>
      <c r="D88" s="54"/>
      <c r="E88" s="49" t="s">
        <v>295</v>
      </c>
      <c r="F88" s="49" t="s">
        <v>296</v>
      </c>
      <c r="G88" s="50" t="s">
        <v>168</v>
      </c>
      <c r="H88" s="50" t="s">
        <v>169</v>
      </c>
      <c r="I88" s="51" t="s">
        <v>23</v>
      </c>
      <c r="J88" s="51" t="str">
        <f t="shared" si="2"/>
        <v>X</v>
      </c>
      <c r="K88" s="51" t="str">
        <f t="shared" ca="1" si="3"/>
        <v>X</v>
      </c>
      <c r="L88" s="52">
        <v>12</v>
      </c>
      <c r="M88" s="52"/>
      <c r="N88" s="52"/>
      <c r="O88" s="50" t="s">
        <v>252</v>
      </c>
      <c r="P88" s="50" t="s">
        <v>149</v>
      </c>
    </row>
    <row r="89" spans="1:16" ht="16.899999999999999" x14ac:dyDescent="0.6">
      <c r="A89" s="55" t="s">
        <v>301</v>
      </c>
      <c r="B89" s="58" t="s">
        <v>302</v>
      </c>
      <c r="C89" s="57" t="s">
        <v>254</v>
      </c>
      <c r="D89" s="57"/>
      <c r="E89" s="58" t="s">
        <v>295</v>
      </c>
      <c r="F89" s="58" t="s">
        <v>296</v>
      </c>
      <c r="G89" s="59" t="s">
        <v>251</v>
      </c>
      <c r="H89" s="59" t="s">
        <v>251</v>
      </c>
      <c r="I89" s="60" t="s">
        <v>23</v>
      </c>
      <c r="J89" s="60" t="str">
        <f t="shared" si="2"/>
        <v>X</v>
      </c>
      <c r="K89" s="60" t="str">
        <f t="shared" ca="1" si="3"/>
        <v>X</v>
      </c>
      <c r="L89" s="61">
        <v>12</v>
      </c>
      <c r="M89" s="61"/>
      <c r="N89" s="61"/>
      <c r="O89" s="59" t="s">
        <v>252</v>
      </c>
      <c r="P89" s="59" t="s">
        <v>149</v>
      </c>
    </row>
    <row r="90" spans="1:16" ht="16.899999999999999" x14ac:dyDescent="0.6">
      <c r="A90" s="46" t="s">
        <v>303</v>
      </c>
      <c r="B90" s="49">
        <v>150700457</v>
      </c>
      <c r="C90" s="54" t="s">
        <v>304</v>
      </c>
      <c r="D90" s="54"/>
      <c r="E90" s="49" t="s">
        <v>305</v>
      </c>
      <c r="F90" s="49" t="s">
        <v>306</v>
      </c>
      <c r="G90" s="50" t="s">
        <v>168</v>
      </c>
      <c r="H90" s="50" t="s">
        <v>169</v>
      </c>
      <c r="I90" s="51" t="s">
        <v>23</v>
      </c>
      <c r="J90" s="51" t="str">
        <f t="shared" si="2"/>
        <v>X</v>
      </c>
      <c r="K90" s="51" t="str">
        <f t="shared" ca="1" si="3"/>
        <v>X</v>
      </c>
      <c r="L90" s="52">
        <v>12</v>
      </c>
      <c r="M90" s="52"/>
      <c r="N90" s="52"/>
      <c r="O90" s="50" t="s">
        <v>252</v>
      </c>
      <c r="P90" s="50" t="s">
        <v>149</v>
      </c>
    </row>
    <row r="91" spans="1:16" ht="16.899999999999999" x14ac:dyDescent="0.6">
      <c r="A91" s="46" t="s">
        <v>307</v>
      </c>
      <c r="B91" s="49">
        <v>150700373</v>
      </c>
      <c r="C91" s="54" t="s">
        <v>304</v>
      </c>
      <c r="D91" s="54"/>
      <c r="E91" s="49" t="s">
        <v>305</v>
      </c>
      <c r="F91" s="49" t="s">
        <v>306</v>
      </c>
      <c r="G91" s="50" t="s">
        <v>168</v>
      </c>
      <c r="H91" s="50" t="s">
        <v>169</v>
      </c>
      <c r="I91" s="51" t="s">
        <v>23</v>
      </c>
      <c r="J91" s="51" t="str">
        <f t="shared" si="2"/>
        <v>X</v>
      </c>
      <c r="K91" s="51" t="str">
        <f t="shared" ca="1" si="3"/>
        <v>X</v>
      </c>
      <c r="L91" s="52">
        <v>12</v>
      </c>
      <c r="M91" s="52"/>
      <c r="N91" s="52"/>
      <c r="O91" s="50" t="s">
        <v>252</v>
      </c>
      <c r="P91" s="50" t="s">
        <v>149</v>
      </c>
    </row>
    <row r="92" spans="1:16" ht="16.899999999999999" x14ac:dyDescent="0.6">
      <c r="A92" s="46" t="s">
        <v>308</v>
      </c>
      <c r="B92" s="49">
        <v>150700364</v>
      </c>
      <c r="C92" s="54" t="s">
        <v>304</v>
      </c>
      <c r="D92" s="54"/>
      <c r="E92" s="49" t="s">
        <v>305</v>
      </c>
      <c r="F92" s="49" t="s">
        <v>306</v>
      </c>
      <c r="G92" s="50" t="s">
        <v>168</v>
      </c>
      <c r="H92" s="50" t="s">
        <v>169</v>
      </c>
      <c r="I92" s="51" t="s">
        <v>23</v>
      </c>
      <c r="J92" s="51" t="str">
        <f t="shared" si="2"/>
        <v>X</v>
      </c>
      <c r="K92" s="51" t="str">
        <f t="shared" ca="1" si="3"/>
        <v>X</v>
      </c>
      <c r="L92" s="52">
        <v>12</v>
      </c>
      <c r="M92" s="52"/>
      <c r="N92" s="52"/>
      <c r="O92" s="50" t="s">
        <v>252</v>
      </c>
      <c r="P92" s="50" t="s">
        <v>149</v>
      </c>
    </row>
    <row r="93" spans="1:16" ht="16.899999999999999" x14ac:dyDescent="0.6">
      <c r="A93" s="46" t="s">
        <v>309</v>
      </c>
      <c r="B93" s="49">
        <v>10150656</v>
      </c>
      <c r="C93" s="54" t="s">
        <v>310</v>
      </c>
      <c r="D93" s="54"/>
      <c r="E93" s="49" t="s">
        <v>311</v>
      </c>
      <c r="F93" s="49" t="s">
        <v>312</v>
      </c>
      <c r="G93" s="50" t="s">
        <v>168</v>
      </c>
      <c r="H93" s="50" t="s">
        <v>169</v>
      </c>
      <c r="I93" s="51" t="s">
        <v>23</v>
      </c>
      <c r="J93" s="51" t="str">
        <f t="shared" si="2"/>
        <v>X</v>
      </c>
      <c r="K93" s="51" t="str">
        <f t="shared" ca="1" si="3"/>
        <v>X</v>
      </c>
      <c r="L93" s="52">
        <v>12</v>
      </c>
      <c r="M93" s="52"/>
      <c r="N93" s="52"/>
      <c r="O93" s="50" t="s">
        <v>252</v>
      </c>
      <c r="P93" s="50" t="s">
        <v>149</v>
      </c>
    </row>
    <row r="94" spans="1:16" ht="16.899999999999999" x14ac:dyDescent="0.6">
      <c r="A94" s="19" t="s">
        <v>313</v>
      </c>
      <c r="B94" s="23" t="s">
        <v>314</v>
      </c>
      <c r="C94" s="63" t="s">
        <v>315</v>
      </c>
      <c r="D94" s="63"/>
      <c r="E94" s="23" t="s">
        <v>316</v>
      </c>
      <c r="F94" s="23" t="s">
        <v>317</v>
      </c>
      <c r="G94" s="24" t="s">
        <v>168</v>
      </c>
      <c r="H94" s="24" t="s">
        <v>169</v>
      </c>
      <c r="I94" s="25" t="s">
        <v>23</v>
      </c>
      <c r="J94" s="25" t="str">
        <f t="shared" si="2"/>
        <v>X</v>
      </c>
      <c r="K94" s="25" t="str">
        <f t="shared" ca="1" si="3"/>
        <v>X</v>
      </c>
      <c r="L94" s="26">
        <v>12</v>
      </c>
      <c r="M94" s="26"/>
      <c r="N94" s="26"/>
      <c r="O94" s="24" t="s">
        <v>318</v>
      </c>
      <c r="P94" s="24" t="s">
        <v>149</v>
      </c>
    </row>
    <row r="95" spans="1:16" ht="16.899999999999999" x14ac:dyDescent="0.6">
      <c r="A95" s="64" t="s">
        <v>319</v>
      </c>
      <c r="B95" s="9"/>
      <c r="C95" s="65" t="s">
        <v>320</v>
      </c>
      <c r="D95" s="66"/>
      <c r="E95" s="9" t="s">
        <v>321</v>
      </c>
      <c r="F95" s="9" t="s">
        <v>322</v>
      </c>
      <c r="G95" s="10" t="s">
        <v>168</v>
      </c>
      <c r="H95" s="10" t="s">
        <v>323</v>
      </c>
      <c r="I95" s="11" t="s">
        <v>23</v>
      </c>
      <c r="J95" s="11" t="str">
        <f t="shared" si="2"/>
        <v>X</v>
      </c>
      <c r="K95" s="11" t="str">
        <f t="shared" ca="1" si="3"/>
        <v>X</v>
      </c>
      <c r="L95" s="12">
        <v>12</v>
      </c>
      <c r="M95" s="12"/>
      <c r="N95" s="12"/>
      <c r="O95" s="10" t="s">
        <v>252</v>
      </c>
      <c r="P95" s="10" t="s">
        <v>149</v>
      </c>
    </row>
    <row r="96" spans="1:16" ht="16.899999999999999" x14ac:dyDescent="0.6">
      <c r="A96" s="46" t="s">
        <v>324</v>
      </c>
      <c r="B96" s="47" t="s">
        <v>325</v>
      </c>
      <c r="C96" s="54" t="s">
        <v>326</v>
      </c>
      <c r="D96" s="54"/>
      <c r="E96" s="49" t="s">
        <v>327</v>
      </c>
      <c r="F96" s="49" t="s">
        <v>328</v>
      </c>
      <c r="G96" s="50" t="s">
        <v>168</v>
      </c>
      <c r="H96" s="50" t="s">
        <v>169</v>
      </c>
      <c r="I96" s="51" t="s">
        <v>23</v>
      </c>
      <c r="J96" s="51" t="str">
        <f t="shared" si="2"/>
        <v>X</v>
      </c>
      <c r="K96" s="51" t="str">
        <f t="shared" ca="1" si="3"/>
        <v>X</v>
      </c>
      <c r="L96" s="52">
        <v>24</v>
      </c>
      <c r="M96" s="52"/>
      <c r="N96" s="52"/>
      <c r="O96" s="50" t="s">
        <v>252</v>
      </c>
      <c r="P96" s="50" t="s">
        <v>149</v>
      </c>
    </row>
    <row r="97" spans="1:16" ht="16.899999999999999" x14ac:dyDescent="0.6">
      <c r="A97" s="46" t="s">
        <v>329</v>
      </c>
      <c r="B97" s="47" t="s">
        <v>330</v>
      </c>
      <c r="C97" s="54" t="s">
        <v>331</v>
      </c>
      <c r="D97" s="54"/>
      <c r="E97" s="49" t="s">
        <v>332</v>
      </c>
      <c r="F97" s="49" t="s">
        <v>333</v>
      </c>
      <c r="G97" s="50" t="s">
        <v>168</v>
      </c>
      <c r="H97" s="50"/>
      <c r="I97" s="51" t="s">
        <v>23</v>
      </c>
      <c r="J97" s="51" t="str">
        <f t="shared" si="2"/>
        <v>X</v>
      </c>
      <c r="K97" s="51" t="str">
        <f t="shared" ca="1" si="3"/>
        <v>X</v>
      </c>
      <c r="L97" s="52">
        <v>12</v>
      </c>
      <c r="M97" s="52"/>
      <c r="N97" s="52"/>
      <c r="O97" s="50" t="s">
        <v>252</v>
      </c>
      <c r="P97" s="50" t="s">
        <v>149</v>
      </c>
    </row>
    <row r="98" spans="1:16" ht="16.899999999999999" x14ac:dyDescent="0.6">
      <c r="A98" s="46" t="s">
        <v>334</v>
      </c>
      <c r="B98" s="47" t="s">
        <v>335</v>
      </c>
      <c r="C98" s="54" t="s">
        <v>331</v>
      </c>
      <c r="D98" s="54"/>
      <c r="E98" s="49" t="s">
        <v>336</v>
      </c>
      <c r="F98" s="49" t="s">
        <v>337</v>
      </c>
      <c r="G98" s="50" t="s">
        <v>168</v>
      </c>
      <c r="H98" s="50" t="s">
        <v>169</v>
      </c>
      <c r="I98" s="51" t="s">
        <v>23</v>
      </c>
      <c r="J98" s="51" t="str">
        <f t="shared" si="2"/>
        <v>X</v>
      </c>
      <c r="K98" s="51" t="str">
        <f t="shared" ca="1" si="3"/>
        <v>X</v>
      </c>
      <c r="L98" s="52">
        <v>12</v>
      </c>
      <c r="M98" s="52"/>
      <c r="N98" s="52"/>
      <c r="O98" s="50" t="s">
        <v>338</v>
      </c>
      <c r="P98" s="50" t="s">
        <v>149</v>
      </c>
    </row>
    <row r="99" spans="1:16" ht="16.899999999999999" x14ac:dyDescent="0.6">
      <c r="A99" s="46" t="s">
        <v>339</v>
      </c>
      <c r="B99" s="47" t="s">
        <v>340</v>
      </c>
      <c r="C99" s="54" t="s">
        <v>331</v>
      </c>
      <c r="D99" s="54"/>
      <c r="E99" s="49" t="s">
        <v>341</v>
      </c>
      <c r="F99" s="49" t="s">
        <v>337</v>
      </c>
      <c r="G99" s="50" t="s">
        <v>168</v>
      </c>
      <c r="H99" s="50" t="s">
        <v>169</v>
      </c>
      <c r="I99" s="51" t="s">
        <v>23</v>
      </c>
      <c r="J99" s="51" t="str">
        <f t="shared" si="2"/>
        <v>X</v>
      </c>
      <c r="K99" s="51" t="str">
        <f t="shared" ca="1" si="3"/>
        <v>X</v>
      </c>
      <c r="L99" s="52">
        <v>12</v>
      </c>
      <c r="M99" s="52"/>
      <c r="N99" s="52"/>
      <c r="O99" s="50" t="s">
        <v>338</v>
      </c>
      <c r="P99" s="50" t="s">
        <v>149</v>
      </c>
    </row>
    <row r="100" spans="1:16" ht="16.899999999999999" x14ac:dyDescent="0.6">
      <c r="A100" s="46" t="s">
        <v>342</v>
      </c>
      <c r="B100" s="47" t="s">
        <v>343</v>
      </c>
      <c r="C100" s="54" t="s">
        <v>331</v>
      </c>
      <c r="D100" s="54"/>
      <c r="E100" s="49" t="s">
        <v>344</v>
      </c>
      <c r="F100" s="49" t="s">
        <v>345</v>
      </c>
      <c r="G100" s="50" t="s">
        <v>168</v>
      </c>
      <c r="H100" s="50" t="s">
        <v>169</v>
      </c>
      <c r="I100" s="51" t="s">
        <v>23</v>
      </c>
      <c r="J100" s="51" t="str">
        <f t="shared" si="2"/>
        <v>X</v>
      </c>
      <c r="K100" s="51" t="str">
        <f t="shared" ca="1" si="3"/>
        <v>X</v>
      </c>
      <c r="L100" s="52">
        <v>12</v>
      </c>
      <c r="M100" s="52"/>
      <c r="N100" s="52"/>
      <c r="O100" s="50" t="s">
        <v>252</v>
      </c>
      <c r="P100" s="50" t="s">
        <v>149</v>
      </c>
    </row>
    <row r="101" spans="1:16" ht="16.899999999999999" x14ac:dyDescent="0.6">
      <c r="A101" s="55" t="s">
        <v>346</v>
      </c>
      <c r="B101" s="58"/>
      <c r="C101" s="57" t="s">
        <v>331</v>
      </c>
      <c r="D101" s="57"/>
      <c r="E101" s="58" t="s">
        <v>347</v>
      </c>
      <c r="F101" s="58" t="s">
        <v>348</v>
      </c>
      <c r="G101" s="59" t="s">
        <v>251</v>
      </c>
      <c r="H101" s="59" t="s">
        <v>251</v>
      </c>
      <c r="I101" s="60" t="s">
        <v>23</v>
      </c>
      <c r="J101" s="60" t="str">
        <f t="shared" si="2"/>
        <v>X</v>
      </c>
      <c r="K101" s="60" t="str">
        <f t="shared" ca="1" si="3"/>
        <v>X</v>
      </c>
      <c r="L101" s="61">
        <v>12</v>
      </c>
      <c r="M101" s="61"/>
      <c r="N101" s="61"/>
      <c r="O101" s="59" t="s">
        <v>252</v>
      </c>
      <c r="P101" s="59" t="s">
        <v>149</v>
      </c>
    </row>
    <row r="102" spans="1:16" ht="16.899999999999999" x14ac:dyDescent="0.6">
      <c r="A102" s="46" t="s">
        <v>349</v>
      </c>
      <c r="B102" s="47" t="s">
        <v>350</v>
      </c>
      <c r="C102" s="54" t="s">
        <v>331</v>
      </c>
      <c r="D102" s="54"/>
      <c r="E102" s="49" t="s">
        <v>351</v>
      </c>
      <c r="F102" s="49" t="s">
        <v>352</v>
      </c>
      <c r="G102" s="50" t="s">
        <v>168</v>
      </c>
      <c r="H102" s="50" t="s">
        <v>353</v>
      </c>
      <c r="I102" s="51" t="s">
        <v>23</v>
      </c>
      <c r="J102" s="51" t="str">
        <f t="shared" si="2"/>
        <v>X</v>
      </c>
      <c r="K102" s="51" t="str">
        <f t="shared" ca="1" si="3"/>
        <v>X</v>
      </c>
      <c r="L102" s="52">
        <v>12</v>
      </c>
      <c r="M102" s="52"/>
      <c r="N102" s="52"/>
      <c r="O102" s="50" t="s">
        <v>252</v>
      </c>
      <c r="P102" s="50" t="s">
        <v>149</v>
      </c>
    </row>
    <row r="103" spans="1:16" ht="16.899999999999999" x14ac:dyDescent="0.6">
      <c r="A103" s="46" t="s">
        <v>354</v>
      </c>
      <c r="B103" s="49" t="s">
        <v>355</v>
      </c>
      <c r="C103" s="48" t="s">
        <v>356</v>
      </c>
      <c r="D103" s="48"/>
      <c r="E103" s="49" t="s">
        <v>357</v>
      </c>
      <c r="F103" s="49" t="s">
        <v>358</v>
      </c>
      <c r="G103" s="50" t="s">
        <v>168</v>
      </c>
      <c r="H103" s="50" t="s">
        <v>353</v>
      </c>
      <c r="I103" s="51">
        <v>45973</v>
      </c>
      <c r="J103" s="51">
        <f t="shared" si="2"/>
        <v>46338</v>
      </c>
      <c r="K103" s="51" t="str">
        <f t="shared" ca="1" si="3"/>
        <v>X</v>
      </c>
      <c r="L103" s="52">
        <v>12</v>
      </c>
      <c r="M103" s="52"/>
      <c r="N103" s="52"/>
      <c r="O103" s="50" t="s">
        <v>252</v>
      </c>
      <c r="P103" s="50" t="s">
        <v>149</v>
      </c>
    </row>
    <row r="104" spans="1:16" ht="33.75" x14ac:dyDescent="0.6">
      <c r="A104" s="55" t="s">
        <v>359</v>
      </c>
      <c r="B104" s="58"/>
      <c r="C104" s="67" t="s">
        <v>360</v>
      </c>
      <c r="D104" s="67"/>
      <c r="E104" s="58" t="s">
        <v>361</v>
      </c>
      <c r="F104" s="58" t="s">
        <v>328</v>
      </c>
      <c r="G104" s="59" t="s">
        <v>251</v>
      </c>
      <c r="H104" s="59" t="s">
        <v>251</v>
      </c>
      <c r="I104" s="60" t="s">
        <v>23</v>
      </c>
      <c r="J104" s="60" t="str">
        <f t="shared" si="2"/>
        <v>X</v>
      </c>
      <c r="K104" s="60" t="str">
        <f t="shared" ca="1" si="3"/>
        <v>X</v>
      </c>
      <c r="L104" s="61">
        <v>24</v>
      </c>
      <c r="M104" s="61"/>
      <c r="N104" s="61"/>
      <c r="O104" s="68" t="s">
        <v>362</v>
      </c>
      <c r="P104" s="59"/>
    </row>
    <row r="105" spans="1:16" ht="16.899999999999999" x14ac:dyDescent="0.6">
      <c r="A105" s="69" t="s">
        <v>363</v>
      </c>
      <c r="B105" s="49" t="s">
        <v>364</v>
      </c>
      <c r="C105" s="70" t="s">
        <v>365</v>
      </c>
      <c r="D105" s="71"/>
      <c r="E105" s="49" t="s">
        <v>366</v>
      </c>
      <c r="F105" s="72" t="s">
        <v>367</v>
      </c>
      <c r="G105" s="50" t="s">
        <v>21</v>
      </c>
      <c r="H105" s="50" t="s">
        <v>368</v>
      </c>
      <c r="I105" s="51">
        <v>46105</v>
      </c>
      <c r="J105" s="51">
        <f t="shared" si="2"/>
        <v>46836</v>
      </c>
      <c r="K105" s="51" t="str">
        <f t="shared" ca="1" si="3"/>
        <v>X</v>
      </c>
      <c r="L105" s="52">
        <v>24</v>
      </c>
      <c r="M105" s="52"/>
      <c r="N105" s="52"/>
      <c r="O105" s="73" t="s">
        <v>369</v>
      </c>
      <c r="P105" s="50"/>
    </row>
    <row r="106" spans="1:16" ht="16.899999999999999" x14ac:dyDescent="0.6">
      <c r="A106" s="46" t="s">
        <v>370</v>
      </c>
      <c r="B106" s="49" t="s">
        <v>364</v>
      </c>
      <c r="C106" s="70" t="s">
        <v>365</v>
      </c>
      <c r="D106" s="71"/>
      <c r="E106" s="49" t="s">
        <v>371</v>
      </c>
      <c r="F106" s="49" t="s">
        <v>367</v>
      </c>
      <c r="G106" s="50" t="s">
        <v>148</v>
      </c>
      <c r="H106" s="50" t="s">
        <v>368</v>
      </c>
      <c r="I106" s="51">
        <v>46105</v>
      </c>
      <c r="J106" s="51">
        <f t="shared" si="2"/>
        <v>46836</v>
      </c>
      <c r="K106" s="51" t="str">
        <f t="shared" ca="1" si="3"/>
        <v>X</v>
      </c>
      <c r="L106" s="52">
        <v>24</v>
      </c>
      <c r="M106" s="52"/>
      <c r="N106" s="52"/>
      <c r="O106" s="73" t="s">
        <v>369</v>
      </c>
      <c r="P106" s="50"/>
    </row>
    <row r="107" spans="1:16" ht="16.899999999999999" x14ac:dyDescent="0.6">
      <c r="A107" s="74" t="s">
        <v>372</v>
      </c>
      <c r="B107" s="49">
        <v>2600422</v>
      </c>
      <c r="C107" s="70" t="s">
        <v>373</v>
      </c>
      <c r="D107" s="71"/>
      <c r="E107" s="49" t="s">
        <v>374</v>
      </c>
      <c r="F107" s="72" t="s">
        <v>375</v>
      </c>
      <c r="G107" s="50" t="s">
        <v>168</v>
      </c>
      <c r="H107" s="50" t="s">
        <v>376</v>
      </c>
      <c r="I107" s="51" t="s">
        <v>377</v>
      </c>
      <c r="J107" s="51" t="str">
        <f t="shared" si="2"/>
        <v>X</v>
      </c>
      <c r="K107" s="51" t="str">
        <f t="shared" ca="1" si="3"/>
        <v>X</v>
      </c>
      <c r="L107" s="52"/>
      <c r="M107" s="52"/>
      <c r="N107" s="52"/>
      <c r="O107" s="73" t="s">
        <v>369</v>
      </c>
      <c r="P107" s="50"/>
    </row>
    <row r="108" spans="1:16" ht="16.899999999999999" x14ac:dyDescent="0.6">
      <c r="A108" s="75" t="s">
        <v>378</v>
      </c>
      <c r="B108" s="49">
        <v>9388003</v>
      </c>
      <c r="C108" s="54" t="s">
        <v>379</v>
      </c>
      <c r="D108" s="54"/>
      <c r="E108" s="49" t="s">
        <v>380</v>
      </c>
      <c r="F108" s="49" t="s">
        <v>381</v>
      </c>
      <c r="G108" s="50" t="s">
        <v>168</v>
      </c>
      <c r="H108" s="50" t="s">
        <v>376</v>
      </c>
      <c r="I108" s="51" t="s">
        <v>377</v>
      </c>
      <c r="J108" s="51" t="str">
        <f t="shared" si="2"/>
        <v>X</v>
      </c>
      <c r="K108" s="51" t="str">
        <f t="shared" ca="1" si="3"/>
        <v>X</v>
      </c>
      <c r="L108" s="52"/>
      <c r="M108" s="52"/>
      <c r="N108" s="52"/>
      <c r="O108" s="73" t="s">
        <v>369</v>
      </c>
      <c r="P108" s="50"/>
    </row>
    <row r="109" spans="1:16" ht="16.899999999999999" x14ac:dyDescent="0.6">
      <c r="A109" s="75" t="s">
        <v>382</v>
      </c>
      <c r="B109" s="49">
        <v>250802807</v>
      </c>
      <c r="C109" s="76" t="s">
        <v>365</v>
      </c>
      <c r="D109" s="77"/>
      <c r="E109" s="49" t="s">
        <v>383</v>
      </c>
      <c r="F109" s="49" t="s">
        <v>384</v>
      </c>
      <c r="G109" s="50" t="s">
        <v>385</v>
      </c>
      <c r="H109" s="50" t="s">
        <v>386</v>
      </c>
      <c r="I109" s="51">
        <v>45996</v>
      </c>
      <c r="J109" s="51">
        <f t="shared" si="2"/>
        <v>46726</v>
      </c>
      <c r="K109" s="51" t="str">
        <f t="shared" ca="1" si="3"/>
        <v>X</v>
      </c>
      <c r="L109" s="52">
        <v>24</v>
      </c>
      <c r="M109" s="52"/>
      <c r="N109" s="52"/>
      <c r="O109" s="73" t="s">
        <v>369</v>
      </c>
      <c r="P109" s="50"/>
    </row>
    <row r="110" spans="1:16" ht="16.899999999999999" x14ac:dyDescent="0.6">
      <c r="A110" s="78" t="s">
        <v>387</v>
      </c>
      <c r="B110" s="49">
        <v>55942</v>
      </c>
      <c r="C110" s="79" t="s">
        <v>388</v>
      </c>
      <c r="D110" s="79"/>
      <c r="E110" s="49" t="s">
        <v>389</v>
      </c>
      <c r="F110" s="49" t="s">
        <v>390</v>
      </c>
      <c r="G110" s="50" t="s">
        <v>385</v>
      </c>
      <c r="H110" s="49" t="s">
        <v>122</v>
      </c>
      <c r="I110" s="51">
        <v>46098</v>
      </c>
      <c r="J110" s="51">
        <f t="shared" si="2"/>
        <v>46463</v>
      </c>
      <c r="K110" s="51" t="str">
        <f t="shared" ca="1" si="3"/>
        <v>X</v>
      </c>
      <c r="L110" s="52">
        <v>12</v>
      </c>
      <c r="M110" s="52"/>
      <c r="N110" s="52"/>
      <c r="O110" s="50"/>
      <c r="P110" s="50" t="s">
        <v>123</v>
      </c>
    </row>
    <row r="111" spans="1:16" ht="16.899999999999999" x14ac:dyDescent="0.6">
      <c r="A111" s="78" t="s">
        <v>391</v>
      </c>
      <c r="B111" s="49" t="s">
        <v>392</v>
      </c>
      <c r="C111" s="79" t="s">
        <v>393</v>
      </c>
      <c r="D111" s="79"/>
      <c r="E111" s="49" t="s">
        <v>394</v>
      </c>
      <c r="F111" s="49" t="s">
        <v>272</v>
      </c>
      <c r="G111" s="50" t="s">
        <v>385</v>
      </c>
      <c r="H111" s="49" t="s">
        <v>395</v>
      </c>
      <c r="I111" s="51">
        <v>46099</v>
      </c>
      <c r="J111" s="51">
        <f t="shared" si="2"/>
        <v>46464</v>
      </c>
      <c r="K111" s="51" t="str">
        <f t="shared" ca="1" si="3"/>
        <v>X</v>
      </c>
      <c r="L111" s="52">
        <v>12</v>
      </c>
      <c r="M111" s="52"/>
      <c r="N111" s="52"/>
      <c r="O111" s="50"/>
      <c r="P111" s="50" t="s">
        <v>123</v>
      </c>
    </row>
    <row r="112" spans="1:16" ht="16.899999999999999" x14ac:dyDescent="0.6">
      <c r="A112" s="78" t="s">
        <v>396</v>
      </c>
      <c r="B112" s="49" t="s">
        <v>397</v>
      </c>
      <c r="C112" s="79" t="s">
        <v>398</v>
      </c>
      <c r="D112" s="79"/>
      <c r="E112" s="49" t="s">
        <v>399</v>
      </c>
      <c r="F112" s="49" t="s">
        <v>400</v>
      </c>
      <c r="G112" s="50" t="s">
        <v>385</v>
      </c>
      <c r="H112" s="49" t="s">
        <v>401</v>
      </c>
      <c r="I112" s="51">
        <v>45681</v>
      </c>
      <c r="J112" s="51">
        <f t="shared" si="2"/>
        <v>46411</v>
      </c>
      <c r="K112" s="51" t="str">
        <f t="shared" ca="1" si="3"/>
        <v>X</v>
      </c>
      <c r="L112" s="52">
        <v>24</v>
      </c>
      <c r="M112" s="52"/>
      <c r="N112" s="52"/>
      <c r="O112" s="50"/>
      <c r="P112" s="50" t="s">
        <v>123</v>
      </c>
    </row>
    <row r="113" spans="1:16" ht="16.899999999999999" x14ac:dyDescent="0.6">
      <c r="A113" s="78" t="s">
        <v>402</v>
      </c>
      <c r="B113" s="49" t="s">
        <v>403</v>
      </c>
      <c r="C113" s="79" t="s">
        <v>404</v>
      </c>
      <c r="D113" s="79"/>
      <c r="E113" s="49" t="s">
        <v>405</v>
      </c>
      <c r="F113" s="49" t="s">
        <v>261</v>
      </c>
      <c r="G113" s="50" t="s">
        <v>385</v>
      </c>
      <c r="H113" s="49" t="s">
        <v>122</v>
      </c>
      <c r="I113" s="51">
        <v>46098</v>
      </c>
      <c r="J113" s="51">
        <f t="shared" si="2"/>
        <v>46463</v>
      </c>
      <c r="K113" s="51" t="str">
        <f t="shared" ca="1" si="3"/>
        <v>X</v>
      </c>
      <c r="L113" s="52">
        <v>12</v>
      </c>
      <c r="M113" s="52"/>
      <c r="N113" s="52"/>
      <c r="O113" s="50"/>
      <c r="P113" s="50" t="s">
        <v>123</v>
      </c>
    </row>
    <row r="114" spans="1:16" ht="16.899999999999999" x14ac:dyDescent="0.6">
      <c r="A114" s="78" t="s">
        <v>406</v>
      </c>
      <c r="B114" s="49" t="s">
        <v>407</v>
      </c>
      <c r="C114" s="79" t="s">
        <v>408</v>
      </c>
      <c r="D114" s="79"/>
      <c r="E114" s="49" t="s">
        <v>409</v>
      </c>
      <c r="F114" s="49" t="s">
        <v>410</v>
      </c>
      <c r="G114" s="50" t="s">
        <v>385</v>
      </c>
      <c r="H114" s="49" t="s">
        <v>122</v>
      </c>
      <c r="I114" s="51">
        <v>45680</v>
      </c>
      <c r="J114" s="51">
        <f t="shared" si="2"/>
        <v>46410</v>
      </c>
      <c r="K114" s="51" t="str">
        <f t="shared" ca="1" si="3"/>
        <v>X</v>
      </c>
      <c r="L114" s="52">
        <v>24</v>
      </c>
      <c r="M114" s="52"/>
      <c r="N114" s="52"/>
      <c r="O114" s="50"/>
      <c r="P114" s="50" t="s">
        <v>123</v>
      </c>
    </row>
    <row r="115" spans="1:16" ht="16.899999999999999" x14ac:dyDescent="0.6">
      <c r="A115" s="78" t="s">
        <v>411</v>
      </c>
      <c r="B115" s="49" t="s">
        <v>412</v>
      </c>
      <c r="C115" s="79" t="s">
        <v>413</v>
      </c>
      <c r="D115" s="79"/>
      <c r="E115" s="49" t="s">
        <v>414</v>
      </c>
      <c r="F115" s="49" t="s">
        <v>415</v>
      </c>
      <c r="G115" s="50" t="s">
        <v>385</v>
      </c>
      <c r="H115" s="49" t="s">
        <v>122</v>
      </c>
      <c r="I115" s="51">
        <v>46098</v>
      </c>
      <c r="J115" s="51">
        <f t="shared" si="2"/>
        <v>46282</v>
      </c>
      <c r="K115" s="51" t="str">
        <f t="shared" ca="1" si="3"/>
        <v>X</v>
      </c>
      <c r="L115" s="52">
        <v>6</v>
      </c>
      <c r="M115" s="52"/>
      <c r="N115" s="52"/>
      <c r="O115" s="50"/>
      <c r="P115" s="50" t="s">
        <v>123</v>
      </c>
    </row>
    <row r="116" spans="1:16" ht="16.899999999999999" x14ac:dyDescent="0.6">
      <c r="A116" s="78" t="s">
        <v>416</v>
      </c>
      <c r="B116" s="49">
        <v>156761</v>
      </c>
      <c r="C116" s="79" t="s">
        <v>417</v>
      </c>
      <c r="D116" s="79"/>
      <c r="E116" s="49" t="s">
        <v>418</v>
      </c>
      <c r="F116" s="49" t="s">
        <v>419</v>
      </c>
      <c r="G116" s="50" t="s">
        <v>385</v>
      </c>
      <c r="H116" s="49" t="s">
        <v>122</v>
      </c>
      <c r="I116" s="51">
        <v>46097</v>
      </c>
      <c r="J116" s="51">
        <f t="shared" si="2"/>
        <v>46462</v>
      </c>
      <c r="K116" s="51" t="str">
        <f t="shared" ca="1" si="3"/>
        <v>X</v>
      </c>
      <c r="L116" s="52">
        <v>12</v>
      </c>
      <c r="M116" s="52"/>
      <c r="N116" s="52"/>
      <c r="O116" s="50"/>
      <c r="P116" s="50" t="s">
        <v>123</v>
      </c>
    </row>
    <row r="117" spans="1:16" ht="16.899999999999999" x14ac:dyDescent="0.6">
      <c r="A117" s="78" t="s">
        <v>420</v>
      </c>
      <c r="B117" s="49" t="s">
        <v>421</v>
      </c>
      <c r="C117" s="79" t="s">
        <v>422</v>
      </c>
      <c r="D117" s="79"/>
      <c r="E117" s="49" t="s">
        <v>423</v>
      </c>
      <c r="F117" s="49" t="s">
        <v>424</v>
      </c>
      <c r="G117" s="50" t="s">
        <v>21</v>
      </c>
      <c r="H117" s="49" t="s">
        <v>401</v>
      </c>
      <c r="I117" s="51">
        <v>46099</v>
      </c>
      <c r="J117" s="51">
        <f t="shared" si="2"/>
        <v>46464</v>
      </c>
      <c r="K117" s="51" t="str">
        <f t="shared" ca="1" si="3"/>
        <v>X</v>
      </c>
      <c r="L117" s="52">
        <v>12</v>
      </c>
      <c r="M117" s="52"/>
      <c r="N117" s="52"/>
      <c r="O117" s="50"/>
      <c r="P117" s="50" t="s">
        <v>123</v>
      </c>
    </row>
    <row r="118" spans="1:16" ht="16.899999999999999" x14ac:dyDescent="0.6">
      <c r="A118" s="78" t="s">
        <v>425</v>
      </c>
      <c r="B118" s="49" t="s">
        <v>397</v>
      </c>
      <c r="C118" s="79" t="s">
        <v>426</v>
      </c>
      <c r="D118" s="79"/>
      <c r="E118" s="49" t="s">
        <v>427</v>
      </c>
      <c r="F118" s="49" t="s">
        <v>428</v>
      </c>
      <c r="G118" s="50" t="s">
        <v>136</v>
      </c>
      <c r="H118" s="49" t="s">
        <v>401</v>
      </c>
      <c r="I118" s="51">
        <v>46099</v>
      </c>
      <c r="J118" s="51">
        <f t="shared" si="2"/>
        <v>46464</v>
      </c>
      <c r="K118" s="51" t="str">
        <f t="shared" ca="1" si="3"/>
        <v>X</v>
      </c>
      <c r="L118" s="52">
        <v>12</v>
      </c>
      <c r="M118" s="52"/>
      <c r="N118" s="52"/>
      <c r="O118" s="50"/>
      <c r="P118" s="50" t="s">
        <v>123</v>
      </c>
    </row>
    <row r="119" spans="1:16" ht="16.899999999999999" x14ac:dyDescent="0.6">
      <c r="A119" s="78" t="s">
        <v>429</v>
      </c>
      <c r="B119" s="49">
        <v>8010912</v>
      </c>
      <c r="C119" s="79" t="s">
        <v>430</v>
      </c>
      <c r="D119" s="79"/>
      <c r="E119" s="49" t="s">
        <v>431</v>
      </c>
      <c r="F119" s="49" t="s">
        <v>432</v>
      </c>
      <c r="G119" s="50" t="s">
        <v>21</v>
      </c>
      <c r="H119" s="49" t="s">
        <v>401</v>
      </c>
      <c r="I119" s="51">
        <v>46097</v>
      </c>
      <c r="J119" s="51">
        <f t="shared" si="2"/>
        <v>46462</v>
      </c>
      <c r="K119" s="51" t="str">
        <f t="shared" ca="1" si="3"/>
        <v>X</v>
      </c>
      <c r="L119" s="52">
        <v>12</v>
      </c>
      <c r="M119" s="52"/>
      <c r="N119" s="52"/>
      <c r="O119" s="50"/>
      <c r="P119" s="50" t="s">
        <v>123</v>
      </c>
    </row>
    <row r="120" spans="1:16" ht="16.899999999999999" x14ac:dyDescent="0.6">
      <c r="A120" s="78" t="s">
        <v>433</v>
      </c>
      <c r="B120" s="49" t="s">
        <v>397</v>
      </c>
      <c r="C120" s="79" t="s">
        <v>434</v>
      </c>
      <c r="D120" s="79"/>
      <c r="E120" s="49" t="s">
        <v>435</v>
      </c>
      <c r="F120" s="49" t="s">
        <v>436</v>
      </c>
      <c r="G120" s="50" t="s">
        <v>385</v>
      </c>
      <c r="H120" s="49" t="s">
        <v>122</v>
      </c>
      <c r="I120" s="51">
        <v>46100</v>
      </c>
      <c r="J120" s="51">
        <f t="shared" si="2"/>
        <v>46465</v>
      </c>
      <c r="K120" s="51" t="str">
        <f t="shared" ca="1" si="3"/>
        <v>X</v>
      </c>
      <c r="L120" s="52">
        <v>12</v>
      </c>
      <c r="M120" s="52"/>
      <c r="N120" s="52"/>
      <c r="O120" s="50"/>
      <c r="P120" s="50" t="s">
        <v>123</v>
      </c>
    </row>
    <row r="121" spans="1:16" ht="16.899999999999999" x14ac:dyDescent="0.6">
      <c r="A121" s="78" t="s">
        <v>437</v>
      </c>
      <c r="B121" s="49" t="s">
        <v>397</v>
      </c>
      <c r="C121" s="79" t="s">
        <v>438</v>
      </c>
      <c r="D121" s="79"/>
      <c r="E121" s="49" t="s">
        <v>439</v>
      </c>
      <c r="F121" s="49" t="s">
        <v>440</v>
      </c>
      <c r="G121" s="50" t="s">
        <v>385</v>
      </c>
      <c r="H121" s="49" t="s">
        <v>122</v>
      </c>
      <c r="I121" s="51">
        <v>46099</v>
      </c>
      <c r="J121" s="51">
        <f t="shared" si="2"/>
        <v>46464</v>
      </c>
      <c r="K121" s="51" t="str">
        <f t="shared" ca="1" si="3"/>
        <v>X</v>
      </c>
      <c r="L121" s="52">
        <v>12</v>
      </c>
      <c r="M121" s="52"/>
      <c r="N121" s="52"/>
      <c r="O121" s="50"/>
      <c r="P121" s="50" t="s">
        <v>123</v>
      </c>
    </row>
    <row r="122" spans="1:16" ht="16.899999999999999" x14ac:dyDescent="0.6">
      <c r="A122" s="78" t="s">
        <v>441</v>
      </c>
      <c r="B122" s="49">
        <v>153097</v>
      </c>
      <c r="C122" s="79" t="s">
        <v>442</v>
      </c>
      <c r="D122" s="79"/>
      <c r="E122" s="49" t="s">
        <v>443</v>
      </c>
      <c r="F122" s="49" t="s">
        <v>444</v>
      </c>
      <c r="G122" s="50" t="s">
        <v>385</v>
      </c>
      <c r="H122" s="49" t="s">
        <v>122</v>
      </c>
      <c r="I122" s="51">
        <v>45680</v>
      </c>
      <c r="J122" s="51">
        <f t="shared" si="2"/>
        <v>46045</v>
      </c>
      <c r="K122" s="51" t="str">
        <f t="shared" ca="1" si="3"/>
        <v>O</v>
      </c>
      <c r="L122" s="52">
        <v>12</v>
      </c>
      <c r="M122" s="52"/>
      <c r="N122" s="52"/>
      <c r="O122" s="50" t="s">
        <v>445</v>
      </c>
      <c r="P122" s="50" t="s">
        <v>123</v>
      </c>
    </row>
    <row r="123" spans="1:16" ht="16.899999999999999" x14ac:dyDescent="0.6">
      <c r="A123" s="78" t="s">
        <v>446</v>
      </c>
      <c r="B123" s="49">
        <v>17957</v>
      </c>
      <c r="C123" s="79" t="s">
        <v>447</v>
      </c>
      <c r="D123" s="79"/>
      <c r="E123" s="49" t="s">
        <v>448</v>
      </c>
      <c r="F123" s="49" t="s">
        <v>449</v>
      </c>
      <c r="G123" s="50" t="s">
        <v>385</v>
      </c>
      <c r="H123" s="49" t="s">
        <v>122</v>
      </c>
      <c r="I123" s="51">
        <v>46098</v>
      </c>
      <c r="J123" s="51">
        <f t="shared" si="2"/>
        <v>46463</v>
      </c>
      <c r="K123" s="51" t="str">
        <f t="shared" ca="1" si="3"/>
        <v>X</v>
      </c>
      <c r="L123" s="52">
        <v>12</v>
      </c>
      <c r="M123" s="52"/>
      <c r="N123" s="52"/>
      <c r="O123" s="50"/>
      <c r="P123" s="50" t="s">
        <v>123</v>
      </c>
    </row>
    <row r="124" spans="1:16" ht="16.899999999999999" x14ac:dyDescent="0.6">
      <c r="A124" s="78" t="s">
        <v>450</v>
      </c>
      <c r="B124" s="49">
        <v>52173402</v>
      </c>
      <c r="C124" s="79" t="s">
        <v>451</v>
      </c>
      <c r="D124" s="79"/>
      <c r="E124" s="49" t="s">
        <v>452</v>
      </c>
      <c r="F124" s="49" t="s">
        <v>390</v>
      </c>
      <c r="G124" s="50" t="s">
        <v>385</v>
      </c>
      <c r="H124" s="49" t="s">
        <v>122</v>
      </c>
      <c r="I124" s="51">
        <v>46098</v>
      </c>
      <c r="J124" s="51">
        <f t="shared" si="2"/>
        <v>46463</v>
      </c>
      <c r="K124" s="51" t="str">
        <f t="shared" ca="1" si="3"/>
        <v>X</v>
      </c>
      <c r="L124" s="52">
        <v>12</v>
      </c>
      <c r="M124" s="52"/>
      <c r="N124" s="52"/>
      <c r="O124" s="50"/>
      <c r="P124" s="50" t="s">
        <v>123</v>
      </c>
    </row>
    <row r="125" spans="1:16" ht="16.899999999999999" x14ac:dyDescent="0.6">
      <c r="A125" s="78" t="s">
        <v>453</v>
      </c>
      <c r="B125" s="49">
        <v>140503718</v>
      </c>
      <c r="C125" s="79" t="s">
        <v>454</v>
      </c>
      <c r="D125" s="79"/>
      <c r="E125" s="49" t="s">
        <v>455</v>
      </c>
      <c r="F125" s="49" t="s">
        <v>456</v>
      </c>
      <c r="G125" s="50" t="s">
        <v>385</v>
      </c>
      <c r="H125" s="49" t="s">
        <v>122</v>
      </c>
      <c r="I125" s="51">
        <v>46097</v>
      </c>
      <c r="J125" s="51">
        <f t="shared" si="2"/>
        <v>46462</v>
      </c>
      <c r="K125" s="51" t="str">
        <f t="shared" ca="1" si="3"/>
        <v>X</v>
      </c>
      <c r="L125" s="52">
        <v>12</v>
      </c>
      <c r="M125" s="52"/>
      <c r="N125" s="52"/>
      <c r="O125" s="50"/>
      <c r="P125" s="50" t="s">
        <v>123</v>
      </c>
    </row>
    <row r="126" spans="1:16" ht="16.899999999999999" x14ac:dyDescent="0.6">
      <c r="A126" s="78" t="s">
        <v>457</v>
      </c>
      <c r="B126" s="49">
        <v>415517</v>
      </c>
      <c r="C126" s="79" t="s">
        <v>458</v>
      </c>
      <c r="D126" s="79"/>
      <c r="E126" s="49" t="s">
        <v>459</v>
      </c>
      <c r="F126" s="49" t="s">
        <v>460</v>
      </c>
      <c r="G126" s="50" t="s">
        <v>385</v>
      </c>
      <c r="H126" s="49" t="s">
        <v>122</v>
      </c>
      <c r="I126" s="51">
        <v>46100</v>
      </c>
      <c r="J126" s="51">
        <f t="shared" si="2"/>
        <v>46465</v>
      </c>
      <c r="K126" s="51" t="str">
        <f t="shared" ca="1" si="3"/>
        <v>X</v>
      </c>
      <c r="L126" s="52">
        <v>12</v>
      </c>
      <c r="M126" s="52"/>
      <c r="N126" s="52"/>
      <c r="O126" s="50"/>
      <c r="P126" s="50" t="s">
        <v>123</v>
      </c>
    </row>
    <row r="127" spans="1:16" ht="16.899999999999999" x14ac:dyDescent="0.6">
      <c r="A127" s="78" t="s">
        <v>461</v>
      </c>
      <c r="B127" s="49">
        <v>37037696</v>
      </c>
      <c r="C127" s="79" t="s">
        <v>462</v>
      </c>
      <c r="D127" s="79"/>
      <c r="E127" s="49" t="s">
        <v>463</v>
      </c>
      <c r="F127" s="49" t="s">
        <v>460</v>
      </c>
      <c r="G127" s="50" t="s">
        <v>385</v>
      </c>
      <c r="H127" s="49" t="s">
        <v>122</v>
      </c>
      <c r="I127" s="51">
        <v>46100</v>
      </c>
      <c r="J127" s="51">
        <f t="shared" si="2"/>
        <v>46465</v>
      </c>
      <c r="K127" s="51" t="str">
        <f t="shared" ca="1" si="3"/>
        <v>X</v>
      </c>
      <c r="L127" s="52">
        <v>12</v>
      </c>
      <c r="M127" s="52"/>
      <c r="N127" s="52"/>
      <c r="O127" s="50"/>
      <c r="P127" s="50" t="s">
        <v>123</v>
      </c>
    </row>
    <row r="128" spans="1:16" ht="16.899999999999999" x14ac:dyDescent="0.6">
      <c r="A128" s="78" t="s">
        <v>464</v>
      </c>
      <c r="B128" s="49" t="s">
        <v>465</v>
      </c>
      <c r="C128" s="79" t="s">
        <v>466</v>
      </c>
      <c r="D128" s="79"/>
      <c r="E128" s="49" t="s">
        <v>467</v>
      </c>
      <c r="F128" s="49" t="s">
        <v>468</v>
      </c>
      <c r="G128" s="50" t="s">
        <v>385</v>
      </c>
      <c r="H128" s="49" t="s">
        <v>122</v>
      </c>
      <c r="I128" s="51">
        <v>46100</v>
      </c>
      <c r="J128" s="51">
        <f t="shared" si="2"/>
        <v>46465</v>
      </c>
      <c r="K128" s="51" t="str">
        <f t="shared" ca="1" si="3"/>
        <v>X</v>
      </c>
      <c r="L128" s="52">
        <v>12</v>
      </c>
      <c r="M128" s="52"/>
      <c r="N128" s="52"/>
      <c r="O128" s="50"/>
      <c r="P128" s="50" t="s">
        <v>123</v>
      </c>
    </row>
    <row r="129" spans="1:16" ht="16.899999999999999" x14ac:dyDescent="0.6">
      <c r="A129" s="46" t="s">
        <v>469</v>
      </c>
      <c r="B129" s="49" t="s">
        <v>470</v>
      </c>
      <c r="C129" s="79" t="s">
        <v>471</v>
      </c>
      <c r="D129" s="79"/>
      <c r="E129" s="49" t="s">
        <v>472</v>
      </c>
      <c r="F129" s="49" t="s">
        <v>306</v>
      </c>
      <c r="G129" s="50" t="s">
        <v>385</v>
      </c>
      <c r="H129" s="49" t="s">
        <v>395</v>
      </c>
      <c r="I129" s="51">
        <v>46099</v>
      </c>
      <c r="J129" s="51">
        <f t="shared" si="2"/>
        <v>46464</v>
      </c>
      <c r="K129" s="51" t="str">
        <f t="shared" ca="1" si="3"/>
        <v>X</v>
      </c>
      <c r="L129" s="52">
        <v>12</v>
      </c>
      <c r="M129" s="52"/>
      <c r="N129" s="52"/>
      <c r="O129" s="50"/>
      <c r="P129" s="50" t="s">
        <v>123</v>
      </c>
    </row>
    <row r="130" spans="1:16" ht="16.899999999999999" x14ac:dyDescent="0.6">
      <c r="A130" s="46" t="s">
        <v>473</v>
      </c>
      <c r="B130" s="49">
        <v>50950762</v>
      </c>
      <c r="C130" s="79" t="s">
        <v>474</v>
      </c>
      <c r="D130" s="79"/>
      <c r="E130" s="49" t="s">
        <v>475</v>
      </c>
      <c r="F130" s="49" t="s">
        <v>390</v>
      </c>
      <c r="G130" s="50" t="s">
        <v>385</v>
      </c>
      <c r="H130" s="49" t="s">
        <v>122</v>
      </c>
      <c r="I130" s="51">
        <v>46099</v>
      </c>
      <c r="J130" s="51">
        <f t="shared" ref="J130:J156" si="4">IF(ISNUMBER(I130),EDATE(I130,L130),"X")</f>
        <v>46464</v>
      </c>
      <c r="K130" s="51" t="str">
        <f t="shared" ref="K130:K156" ca="1" si="5">IF(J130="X","X",IF(ISNUMBER(J130),IF(J130&lt;TODAY(),"O","X"),"X"))</f>
        <v>X</v>
      </c>
      <c r="L130" s="52">
        <v>12</v>
      </c>
      <c r="M130" s="52"/>
      <c r="N130" s="52"/>
      <c r="O130" s="50"/>
      <c r="P130" s="50" t="s">
        <v>123</v>
      </c>
    </row>
    <row r="131" spans="1:16" ht="16.899999999999999" x14ac:dyDescent="0.6">
      <c r="A131" s="46" t="s">
        <v>476</v>
      </c>
      <c r="B131" s="49" t="s">
        <v>477</v>
      </c>
      <c r="C131" s="79" t="s">
        <v>478</v>
      </c>
      <c r="D131" s="79"/>
      <c r="E131" s="49" t="s">
        <v>479</v>
      </c>
      <c r="F131" s="49" t="s">
        <v>419</v>
      </c>
      <c r="G131" s="50" t="s">
        <v>385</v>
      </c>
      <c r="H131" s="49" t="s">
        <v>401</v>
      </c>
      <c r="I131" s="51">
        <v>46108</v>
      </c>
      <c r="J131" s="51">
        <f t="shared" si="4"/>
        <v>46473</v>
      </c>
      <c r="K131" s="51" t="str">
        <f t="shared" ca="1" si="5"/>
        <v>X</v>
      </c>
      <c r="L131" s="52">
        <v>12</v>
      </c>
      <c r="M131" s="52"/>
      <c r="N131" s="52"/>
      <c r="O131" s="50"/>
      <c r="P131" s="50" t="s">
        <v>123</v>
      </c>
    </row>
  </sheetData>
  <autoFilter ref="A1:P131" xr:uid="{63A460F5-9D8E-4FF6-80BB-4D764263C36D}">
    <filterColumn colId="2" showButton="0"/>
  </autoFilter>
  <mergeCells count="132">
    <mergeCell ref="C126:D126"/>
    <mergeCell ref="C127:D127"/>
    <mergeCell ref="C128:D128"/>
    <mergeCell ref="C129:D129"/>
    <mergeCell ref="C130:D130"/>
    <mergeCell ref="C131:D131"/>
    <mergeCell ref="C120:D120"/>
    <mergeCell ref="C121:D121"/>
    <mergeCell ref="C122:D122"/>
    <mergeCell ref="C123:D123"/>
    <mergeCell ref="C124:D124"/>
    <mergeCell ref="C125:D125"/>
    <mergeCell ref="C114:D114"/>
    <mergeCell ref="C115:D115"/>
    <mergeCell ref="C116:D116"/>
    <mergeCell ref="C117:D117"/>
    <mergeCell ref="C118:D118"/>
    <mergeCell ref="C119:D119"/>
    <mergeCell ref="C108:D108"/>
    <mergeCell ref="C109:D109"/>
    <mergeCell ref="C110:D110"/>
    <mergeCell ref="C111:D111"/>
    <mergeCell ref="C112:D112"/>
    <mergeCell ref="C113:D113"/>
    <mergeCell ref="C102:D102"/>
    <mergeCell ref="C103:D103"/>
    <mergeCell ref="C104:D104"/>
    <mergeCell ref="C105:D105"/>
    <mergeCell ref="C106:D106"/>
    <mergeCell ref="C107:D107"/>
    <mergeCell ref="C96:D96"/>
    <mergeCell ref="C97:D97"/>
    <mergeCell ref="C98:D98"/>
    <mergeCell ref="C99:D99"/>
    <mergeCell ref="C100:D100"/>
    <mergeCell ref="C101:D101"/>
    <mergeCell ref="C90:D90"/>
    <mergeCell ref="C91:D91"/>
    <mergeCell ref="C92:D92"/>
    <mergeCell ref="C93:D93"/>
    <mergeCell ref="C94:D94"/>
    <mergeCell ref="C95:D95"/>
    <mergeCell ref="C84:D84"/>
    <mergeCell ref="C85:D85"/>
    <mergeCell ref="C86:D86"/>
    <mergeCell ref="C87:D87"/>
    <mergeCell ref="C88:D88"/>
    <mergeCell ref="C89:D89"/>
    <mergeCell ref="C78:D78"/>
    <mergeCell ref="C79:D79"/>
    <mergeCell ref="C80:D80"/>
    <mergeCell ref="C81:D81"/>
    <mergeCell ref="C82:D82"/>
    <mergeCell ref="C83:D83"/>
    <mergeCell ref="C72:D72"/>
    <mergeCell ref="C73:D73"/>
    <mergeCell ref="C74:D74"/>
    <mergeCell ref="C75:D75"/>
    <mergeCell ref="C76:D76"/>
    <mergeCell ref="C77:D77"/>
    <mergeCell ref="C66:D66"/>
    <mergeCell ref="C67:D67"/>
    <mergeCell ref="C68:D68"/>
    <mergeCell ref="C69:D69"/>
    <mergeCell ref="C70:D70"/>
    <mergeCell ref="C71:D71"/>
    <mergeCell ref="C60:D60"/>
    <mergeCell ref="C61:D61"/>
    <mergeCell ref="C62:D62"/>
    <mergeCell ref="C63:D63"/>
    <mergeCell ref="C64:D64"/>
    <mergeCell ref="C65:D65"/>
    <mergeCell ref="C54:D54"/>
    <mergeCell ref="C55:D55"/>
    <mergeCell ref="C56:D56"/>
    <mergeCell ref="C57:D57"/>
    <mergeCell ref="C58:D58"/>
    <mergeCell ref="C59:D59"/>
    <mergeCell ref="C48:D48"/>
    <mergeCell ref="C49:D49"/>
    <mergeCell ref="C50:D50"/>
    <mergeCell ref="C51:D51"/>
    <mergeCell ref="C52:D52"/>
    <mergeCell ref="C53:D53"/>
    <mergeCell ref="C42:D42"/>
    <mergeCell ref="C43:D43"/>
    <mergeCell ref="C44:D44"/>
    <mergeCell ref="C45:D45"/>
    <mergeCell ref="C46:D46"/>
    <mergeCell ref="C47:D47"/>
    <mergeCell ref="C36:D36"/>
    <mergeCell ref="C37:D37"/>
    <mergeCell ref="C38:D38"/>
    <mergeCell ref="C39:D39"/>
    <mergeCell ref="C40:D40"/>
    <mergeCell ref="C41:D41"/>
    <mergeCell ref="C30:D30"/>
    <mergeCell ref="C31:D31"/>
    <mergeCell ref="C32:D32"/>
    <mergeCell ref="C33:D33"/>
    <mergeCell ref="C34:D34"/>
    <mergeCell ref="C35:D35"/>
    <mergeCell ref="C24:D24"/>
    <mergeCell ref="C25:D25"/>
    <mergeCell ref="C26:D26"/>
    <mergeCell ref="C27:D27"/>
    <mergeCell ref="C28:D28"/>
    <mergeCell ref="C29:D29"/>
    <mergeCell ref="C18:D18"/>
    <mergeCell ref="C19:D19"/>
    <mergeCell ref="C20:D20"/>
    <mergeCell ref="C21:D21"/>
    <mergeCell ref="C22:D22"/>
    <mergeCell ref="C23:D23"/>
    <mergeCell ref="C12:D12"/>
    <mergeCell ref="C13:D13"/>
    <mergeCell ref="C14:D14"/>
    <mergeCell ref="C15:D15"/>
    <mergeCell ref="C16:D16"/>
    <mergeCell ref="C17:D17"/>
    <mergeCell ref="C6:D6"/>
    <mergeCell ref="C7:D7"/>
    <mergeCell ref="C8:D8"/>
    <mergeCell ref="C9:D9"/>
    <mergeCell ref="C10:D10"/>
    <mergeCell ref="C11:D11"/>
    <mergeCell ref="C1:D1"/>
    <mergeCell ref="Q1:R1"/>
    <mergeCell ref="C2:D2"/>
    <mergeCell ref="C3:D3"/>
    <mergeCell ref="C4:D4"/>
    <mergeCell ref="C5:D5"/>
  </mergeCells>
  <phoneticPr fontId="1" type="noConversion"/>
  <conditionalFormatting sqref="A2:A29 A31:A109">
    <cfRule type="expression" dxfId="0" priority="1">
      <formula>"COUNTIF($C$2:$C$20,A2)&gt;0"</formula>
    </cfRule>
    <cfRule type="duplicateValues" priority="2"/>
  </conditionalFormatting>
  <hyperlinks>
    <hyperlink ref="A2" location="'001'!A1" display="AARON-01" xr:uid="{C43E1C47-2615-4951-9944-21774A4573C5}"/>
    <hyperlink ref="A3" location="'002'!A1" display="AARON-02" xr:uid="{681D9133-28C8-4E85-BF09-4B8AAA0C5840}"/>
    <hyperlink ref="A4:A5" location="'003'!A1" display="AARON-03" xr:uid="{4052B5D1-7A20-49E1-82E3-AC61958A9ED8}"/>
    <hyperlink ref="A5" location="'004'!A1" display="AARON-04" xr:uid="{261F756F-1EF4-407B-8764-FEF23279B7D9}"/>
    <hyperlink ref="A10" location="'009'!Print_Area" display="AARON-09" xr:uid="{F20C41E8-E243-440D-AC75-AB73649ADB1F}"/>
    <hyperlink ref="A9" location="'008'!Print_Area" display="AARON-08" xr:uid="{7A96043C-56E2-478D-AF85-8D4E3E217D3D}"/>
    <hyperlink ref="A11" location="'010'!Print_Area" display="AARON-10" xr:uid="{39F609BC-D6CC-41B5-A3AA-926878296021}"/>
    <hyperlink ref="A12" location="'027'!Print_Area" display="AARON-27" xr:uid="{E33B8CB8-0F02-4977-8BB6-19042ABA5A6A}"/>
    <hyperlink ref="A13" location="'028'!Print_Area" display="AARON-28" xr:uid="{15833B88-F519-47F0-AA09-19FE575F7774}"/>
    <hyperlink ref="A14" location="'029'!Print_Area" display="AARON-29" xr:uid="{CCD498A1-9A67-43FC-8086-DF22514C6E19}"/>
    <hyperlink ref="A15" location="'030'!Print_Area" display="AARON-30" xr:uid="{BC60F7A2-D7C6-47D5-96BD-322A7669D3E0}"/>
    <hyperlink ref="A16" location="'031'!Print_Area" display="AARON-31" xr:uid="{FC19123C-78D3-40EE-811C-33867C485E76}"/>
    <hyperlink ref="A17" location="'032'!Print_Area" display="AARON-32" xr:uid="{96DE4E87-FC89-4CE6-A345-AEEBAE1C5A2A}"/>
    <hyperlink ref="A20" location="'035'!Print_Area" display="AARON-35" xr:uid="{AA3C6FE4-F743-490E-8C60-C47214CD2A3F}"/>
    <hyperlink ref="A21" location="'036'!Print_Area" display="AARON-36" xr:uid="{D9D1A78E-AB8B-4982-9258-49D802445F60}"/>
    <hyperlink ref="A22" location="'037'!Print_Area" display="AARON-37" xr:uid="{152FBD0B-8158-456D-B877-F834AE3851BB}"/>
    <hyperlink ref="A23" location="'038'!Print_Area" display="AARON-38" xr:uid="{251E80D2-5206-41BE-AD09-81CA349A7372}"/>
    <hyperlink ref="A129:A131" location="'ex-052'!Print_Area" display="AARON(ex)-050" xr:uid="{129CB027-D8ED-4655-AA59-E6E2951CBD8A}"/>
    <hyperlink ref="A130" location="'ex-051'!Print_Area" display="AARON(ex)-051" xr:uid="{A8F3E0FF-F00D-4D0A-87EA-99C78FA472AB}"/>
    <hyperlink ref="A129" location="'ex-050'!Print_Area" display="AARON(ex)-050" xr:uid="{B4D66E4C-E1DC-4CEA-8261-31E3425F7DC4}"/>
    <hyperlink ref="A128" location="'ex-049'!Print_Area" display="AARON(ex)-049" xr:uid="{DFA9DD6F-33A1-472F-982D-D8A32F85540A}"/>
    <hyperlink ref="A127" location="'ex-048'!Print_Area" display="AARON(ex)-048" xr:uid="{5C774FCF-D3BC-4992-B980-682EEA4714AC}"/>
    <hyperlink ref="A125" location="'ex-046'!Print_Area" display="AARON(ex)-046" xr:uid="{C3E88C35-6EEC-48FD-A4E3-3BE014CC05A9}"/>
    <hyperlink ref="A124" location="'ex-045'!Print_Area" display="AARON(ex)-045" xr:uid="{5C5844AB-74E3-4680-88C2-B0FEC87B37E5}"/>
    <hyperlink ref="A123" location="'ex-044'!Print_Area" display="AARON(ex)-044" xr:uid="{C0B9351E-9E20-409D-BE37-59A058530C4F}"/>
    <hyperlink ref="A122" location="'ex-043'!Print_Area" display="AARON(ex)-043" xr:uid="{06E2E8C9-0225-4226-85A6-A437A616532E}"/>
    <hyperlink ref="A121" location="'ex-042'!Print_Area" display="AARON(ex)-042" xr:uid="{223F430D-16E7-4238-AFE3-EA3ACF67932A}"/>
    <hyperlink ref="A120" location="'ex-041'!Print_Area" display="AARON(ex)-041" xr:uid="{19B0C836-503D-4714-90F8-3C240B3B8BE5}"/>
    <hyperlink ref="A119" location="'ex-040'!Print_Area" display="AARON(ex)-040" xr:uid="{B0DD8EAE-892A-4208-8961-E686EA6C19C9}"/>
    <hyperlink ref="A118" location="'ex-039'!Print_Area" display="AARON(ex)-039" xr:uid="{7DAABBEF-814F-4876-A4EB-6D57639FB290}"/>
    <hyperlink ref="A117" location="'ex-038'!Print_Area" display="AARON(ex)-038" xr:uid="{CFC37665-51C7-4623-8086-03AD3AD89371}"/>
    <hyperlink ref="A116" location="'ex-037'!Print_Area" display="AARON(ex)-037" xr:uid="{E05C5DE3-4E4D-4023-9C69-BDC734CFE7F9}"/>
    <hyperlink ref="A115" location="'ex-035'!Print_Area" display="AARON(ex)-035" xr:uid="{AA59869C-1FA2-48D2-A666-106F32C8CA09}"/>
    <hyperlink ref="A114" location="'ex-034'!Print_Area" display="AARON(ex)-034" xr:uid="{9F0361BC-FAE0-4F68-AF65-2B32E30FA0BE}"/>
    <hyperlink ref="A113" location="'ex-033'!Print_Area" display="AARON(ex)-033" xr:uid="{529A11E4-3311-4B88-857E-8D362E68D76B}"/>
    <hyperlink ref="A112" location="'ex-031'!Print_Area" display="AARON(ex)-031" xr:uid="{8D50EC28-E978-4A1A-A85E-EE8D60AB5EE9}"/>
    <hyperlink ref="A111" location="'ex-030'!Print_Area" display="AARON(ex)-030" xr:uid="{9A8776E2-53FF-4F63-9362-CA24639D2FE0}"/>
    <hyperlink ref="A110" location="'ex-029'!Print_Area" display="AARON(ex)-029" xr:uid="{E391AF2D-8264-4D83-B9DE-7503560C8750}"/>
    <hyperlink ref="A24" location="'039'!Print_Area" display="AARON-39" xr:uid="{BA5E59CB-441C-46D2-B4A0-178FCDEEE5E2}"/>
    <hyperlink ref="A25" location="'040'!Print_Area" display="AARON-40" xr:uid="{B369D2B8-D704-4EDE-A951-FC2C71C98F18}"/>
    <hyperlink ref="A26" location="'041'!Print_Area" display="AARON-41" xr:uid="{E66E301D-E367-44B5-ADE4-EF9363B4C12D}"/>
    <hyperlink ref="A27" location="'042'!Print_Area" display="AARON-42" xr:uid="{19EFB731-D15E-4742-A185-2CA6FC6A08B8}"/>
    <hyperlink ref="A28" location="'043'!Print_Area" display="AARON-43" xr:uid="{2D0E5EE2-FF19-4DAA-AAB5-C94AEBF1868B}"/>
    <hyperlink ref="A29" location="'044'!Print_Area" display="AARON-44" xr:uid="{AC930871-FF08-46BF-B3C4-7065EA1ED5F9}"/>
    <hyperlink ref="A31" location="'046'!Print_Area" display="AARON-46" xr:uid="{5D805187-EACB-45C1-9A1E-66DBC29311B3}"/>
    <hyperlink ref="A32" location="'047'!Print_Area" display="AARON-47" xr:uid="{19CFA06D-9CE5-4338-8C68-185038D2ECF0}"/>
    <hyperlink ref="A33" location="'048'!Print_Area" display="AARON-48" xr:uid="{D37A2CD9-0000-4CDB-93B2-6CB53A1FE6BE}"/>
    <hyperlink ref="A34" location="'130'!Print_Area" display="AARON-130" xr:uid="{7249D939-F70E-4B05-9AC5-6676ED877A18}"/>
    <hyperlink ref="A35" location="'131'!Print_Area" display="AARON-131" xr:uid="{7E739B91-5CA7-461B-A35A-3A3A957CE0D5}"/>
    <hyperlink ref="A36" location="'132'!Print_Area" display="AARON-132" xr:uid="{A4AB261B-FD97-4C85-BC0C-D5C95DF9F290}"/>
    <hyperlink ref="A37" location="'133'!Print_Area" display="AARON-133" xr:uid="{D2052C44-358F-442C-A0B5-8122F76ABFA4}"/>
    <hyperlink ref="A38" location="'134'!Print_Area" display="AARON-134" xr:uid="{90EE965B-A588-48D6-BE97-CD4E6F8F58B3}"/>
    <hyperlink ref="A39" location="'135'!Print_Area" display="AARON-135" xr:uid="{0E52D49A-AC0B-4C9C-80FE-62552B528CC8}"/>
    <hyperlink ref="A40" location="'136'!Print_Area" display="AARON-136" xr:uid="{161E7C78-BD81-4FAA-A8B3-56E53E10E467}"/>
    <hyperlink ref="A41" location="'137'!Print_Area" display="AARON-137" xr:uid="{6D38986D-5E00-4451-A7F5-A18CF6000878}"/>
    <hyperlink ref="A42" location="'137-1'!Print_Area" display="AARON-137-1" xr:uid="{F49E880B-B124-48C6-B72E-EFA4AE037B02}"/>
    <hyperlink ref="A43" location="'137-2'!Print_Area" display="AARON-137-2" xr:uid="{9861E225-242C-40A8-A403-0875591D22DA}"/>
    <hyperlink ref="A44" location="'138'!Print_Area" display="AARON-138" xr:uid="{22391DBD-3A16-4B54-A89E-39239C153BD2}"/>
    <hyperlink ref="A45" location="'138-1'!Print_Area" display="AARON-138-1" xr:uid="{DB23CD01-52E4-47D4-84F2-2379F64984E6}"/>
    <hyperlink ref="A46" location="'138-2'!Print_Area" display="AARON-138-2" xr:uid="{E8A68B7B-DD91-42B6-8A38-12A6C67C7A23}"/>
    <hyperlink ref="A47" location="'139'!Print_Area" display="AARON-139" xr:uid="{8BEEB472-1833-412A-B5AA-0458CDFEE5C0}"/>
    <hyperlink ref="A48" location="'140'!Print_Area" display="AARON-140" xr:uid="{3DD9615A-9BF0-4218-A114-C51559F438E4}"/>
    <hyperlink ref="A49" location="'141'!Print_Area" display="AARON-141" xr:uid="{0BFBE5E5-CE1A-4109-A9D6-EAB40305D135}"/>
    <hyperlink ref="A50" location="'142'!Print_Area" display="AARON-142" xr:uid="{9C0DF4A9-A0BA-4744-BA69-683731DCE57E}"/>
    <hyperlink ref="A51" location="'143'!Print_Area" display="AARON-143" xr:uid="{7BA125E3-68E4-4604-AA34-348DC8642B78}"/>
    <hyperlink ref="A52" location="'144'!Print_Area" display="AARON-144" xr:uid="{6A2F72BD-8BDF-4C9B-AEFC-FD4D44036142}"/>
    <hyperlink ref="A53" location="'145'!Print_Area" display="AARON-145" xr:uid="{6A7CD60C-030C-4B51-8B28-29B2C263FC27}"/>
    <hyperlink ref="A54" location="'146'!Print_Area" display="AARON-146" xr:uid="{4426A272-D6D9-4626-A8D0-4673AFBB77A9}"/>
    <hyperlink ref="A55" location="'147'!Print_Area" display="AARON-147" xr:uid="{94FD0ED5-E292-410F-A974-915FB9E71E72}"/>
    <hyperlink ref="A56" location="'148'!Print_Area" display="AARON-148" xr:uid="{86BFDA7D-5270-49A4-9167-BACF41E62310}"/>
    <hyperlink ref="A57" location="'149'!Print_Area" display="AARON-149" xr:uid="{A55275E0-6513-4FFC-9FC5-228AF240FA2B}"/>
    <hyperlink ref="A58" location="'150'!Print_Area" display="AARON-150" xr:uid="{981AA6B8-EFCE-4699-B741-ADA0542773C3}"/>
    <hyperlink ref="A59" location="'151'!Print_Area" display="AARON-151" xr:uid="{EE37E7CA-F648-4960-A828-C5D62E85AC51}"/>
    <hyperlink ref="A60" location="'152'!Print_Area" display="AARON-152" xr:uid="{5E4C7434-2358-470B-A31E-02C718E9706F}"/>
    <hyperlink ref="A61" location="'153'!Print_Area" display="AARON-153" xr:uid="{8D37DDBF-D767-4E56-BA93-D84D4CFC0474}"/>
    <hyperlink ref="A62" location="'154'!Print_Area" display="AARON-154" xr:uid="{0E88F9D4-F9A1-47B4-B872-BB6C41D9D28E}"/>
    <hyperlink ref="A63" location="'155'!Print_Area" display="AARON-155" xr:uid="{EB5AEFFC-405A-46A1-A3A1-EEFF9AD4325D}"/>
    <hyperlink ref="A64" location="'157'!Print_Area" display="AARON-157" xr:uid="{2DD8727F-7BF1-4C44-B8AA-B84A0D19CA3A}"/>
    <hyperlink ref="A65" location="'158'!Print_Area" display="AARON-158" xr:uid="{9209C325-27E3-42EA-B612-54F847834B7B}"/>
    <hyperlink ref="A66" location="'159'!Print_Area" display="AARON-159" xr:uid="{CCB0D176-C0E7-46B1-A380-04D71D537146}"/>
    <hyperlink ref="A67" location="'160'!Print_Area" display="AARON-160" xr:uid="{605700A2-CBF0-4783-8BAD-58AD4AC3D79B}"/>
    <hyperlink ref="A68" location="'161'!Print_Area" display="AARON-161" xr:uid="{A06738D7-C909-4ABB-8EAC-DDD745DD4221}"/>
    <hyperlink ref="A69" location="'162'!Print_Area" display="AARON-162" xr:uid="{9FF7D24F-A2AE-458D-8751-85FB6C675E5E}"/>
    <hyperlink ref="A70" location="'163'!Print_Area" display="AARON-163" xr:uid="{8815768A-CFC1-4B0D-8B77-301AE9EEA713}"/>
    <hyperlink ref="A71" location="'164'!Print_Area" display="AARON-164" xr:uid="{B143EF14-F168-4DC6-B91F-5D53D16FC67E}"/>
    <hyperlink ref="A72" location="'165'!Print_Area" display="AARON-165" xr:uid="{83642F61-B732-4199-9B41-1CD51C5C5DE2}"/>
    <hyperlink ref="A73" location="'166'!Print_Area" display="AARON-166" xr:uid="{79FBDECD-8EDD-41A2-A963-4FEE35BB60BF}"/>
    <hyperlink ref="A74" location="'167'!Print_Area" display="AARON-167" xr:uid="{8EE9ACD8-899F-4A0C-BBC7-290E9F95486F}"/>
    <hyperlink ref="A75" location="'168'!Print_Area" display="AARON-168" xr:uid="{D105DBD4-F126-4D3E-90EB-9503839B6251}"/>
    <hyperlink ref="A76" location="'169'!Print_Area" display="AARON-169" xr:uid="{B4033A78-BAC2-4D04-8F4D-83AF478D9246}"/>
    <hyperlink ref="A77" location="'172'!Print_Area" display="AARON-172" xr:uid="{461FF80E-0621-4AA8-825A-5BC4411C5FEE}"/>
    <hyperlink ref="A78" location="'173'!Print_Area" display="AARON-173" xr:uid="{CA4F07CB-C735-4126-866A-1263000ED3E2}"/>
    <hyperlink ref="A79" location="'174'!Print_Area" display="AARON-174" xr:uid="{7F6B06C6-B365-46EE-943D-F5CAF5B43DDD}"/>
    <hyperlink ref="A80" location="'175'!A1" display="AARON-175" xr:uid="{6ECC1745-F160-4CF5-BF5A-9EA44EA4DFC2}"/>
    <hyperlink ref="A82" location="'177'!A1" display="AARON-177" xr:uid="{07226A4D-AED4-43E1-8346-523284A0CEA2}"/>
    <hyperlink ref="A83" location="'178'!A1" display="AARON-178" xr:uid="{69E75263-57C7-49CF-9F9F-779438FB207C}"/>
    <hyperlink ref="A84" location="'179'!A1" display="AARON-179" xr:uid="{DBE475DF-BC33-4050-85BD-CCB3EC69D205}"/>
    <hyperlink ref="A85" location="'180'!A1" display="AARON-180" xr:uid="{90858FD6-1CE0-4C90-94F4-27B4A4CB5FB8}"/>
    <hyperlink ref="A86" location="'181'!A1" display="AARON-181" xr:uid="{A753C4A8-190E-45DA-B3DC-2D7DBD83DFBE}"/>
    <hyperlink ref="A87" location="'182'!A1" display="AARON-182" xr:uid="{4AF1CA10-6CB4-47D4-AE39-96777CF62693}"/>
    <hyperlink ref="A88" location="'183'!A1" display="AARON-183" xr:uid="{5196E20C-9F28-4A11-885F-A373B0FD05E0}"/>
    <hyperlink ref="A89" location="'184'!A1" display="AARON-184" xr:uid="{2E8C2D75-A6DF-4D13-9003-9359D1871DE4}"/>
    <hyperlink ref="A90" location="'185'!A1" display="AARON-185" xr:uid="{A5C8C4EE-C463-43AE-85BC-58C678412B93}"/>
    <hyperlink ref="A91" location="'186'!Print_Area" display="AARON-186" xr:uid="{EB03DF52-A78D-4688-AC58-E04A0D6F7E38}"/>
    <hyperlink ref="A92" location="'187'!Print_Area" display="AARON-187" xr:uid="{041979D6-7FD3-4A1A-9071-5A1D2D1B8466}"/>
    <hyperlink ref="A93" location="'188'!Print_Area" display="AARON-188" xr:uid="{8097E8F4-1418-45F5-AAD1-48690A5E5954}"/>
    <hyperlink ref="A94" location="'189'!A1" display="AARON-189" xr:uid="{13551601-46EB-4879-9A90-B069DE499A02}"/>
    <hyperlink ref="A96" location="'191'!A1" display="AARON-191" xr:uid="{2F6357BC-41E7-489F-B38F-C588EDC4D5AF}"/>
    <hyperlink ref="A97" location="'192'!A1" display="AARON-192" xr:uid="{2BB6E92C-4075-44C0-87C6-3AA6DA7EE7CB}"/>
    <hyperlink ref="A98" location="'193'!A1" display="AARON-193" xr:uid="{03DC18ED-39E2-4FF3-9C95-3A80FD05746F}"/>
    <hyperlink ref="A99" location="'194'!A1" display="AARON-194" xr:uid="{60208145-F602-4EE5-A8F8-AEE70779C087}"/>
    <hyperlink ref="A100" location="'195'!A1" display="AARON-195" xr:uid="{2B20A09A-DB9C-4816-A65A-F21567762250}"/>
    <hyperlink ref="A101" location="'196'!A1" display="AARON-196" xr:uid="{2A8EEE1E-25C8-449A-813D-BD930B53EC16}"/>
    <hyperlink ref="A102" location="'197'!A1" display="AARON-197" xr:uid="{23F1E3A2-4D7F-4B94-810D-35FFD56DC5A3}"/>
    <hyperlink ref="A104" location="'199'!A1" display="AARON-199" xr:uid="{14997F74-DEC9-4D73-AF1E-A791F6B6E961}"/>
    <hyperlink ref="A103" location="'198'!A1" display="AARON-198" xr:uid="{4E7ECA8B-FABD-4753-8AAF-7EB570B067A6}"/>
    <hyperlink ref="A126" location="'ex-047'!A1" display="AARON(ex)-047" xr:uid="{63E961F5-235F-4F1A-8BFB-440BCD51A811}"/>
    <hyperlink ref="A105" location="'200'!Print_Area" display="AARON-200" xr:uid="{4D866456-BCC6-4861-817B-869B0CAE53EF}"/>
    <hyperlink ref="A106" location="'201'!Print_Area" display="AARON-201" xr:uid="{2CF37695-84C9-452A-B7D1-A7C486FC9839}"/>
    <hyperlink ref="A6:A8" location="'139'!A1" display="AARON-139" xr:uid="{3B737B42-AF11-4DDA-B653-2E437EB7D937}"/>
    <hyperlink ref="A107" location="'202'!Print_Area" display="AARON-202" xr:uid="{AD7D9827-77A0-4CB7-8D1E-4A05A1B9E21A}"/>
    <hyperlink ref="A108" location="'203'!Print_Area" display="AARON-203" xr:uid="{0969D621-78F1-4B0B-B077-FE429D9E8F5B}"/>
    <hyperlink ref="A109" location="'204'!Print_Area" display="AARON-204" xr:uid="{EB26B819-66DD-4BC7-B4C1-EA48B635DD35}"/>
    <hyperlink ref="A81" location="'176'!Print_Area" display="AARON-176" xr:uid="{62A9674E-7ABC-4D64-95E2-5C996EC04842}"/>
    <hyperlink ref="A95" location="'190'!Print_Area" display="AARON-190" xr:uid="{E1C06A03-98DE-421B-8EDA-6E75D40D4901}"/>
  </hyperlinks>
  <pageMargins left="0.7" right="0.7" top="0.75" bottom="0.75" header="0.3" footer="0.3"/>
  <pageSetup paperSize="9" scale="19" orientation="landscape" r:id="rId1"/>
  <rowBreaks count="1" manualBreakCount="1">
    <brk id="74" max="17" man="1"/>
  </rowBreaks>
  <colBreaks count="1" manualBreakCount="1">
    <brk id="21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89D67-AB27-4EC0-94B7-68416DA3F9C5}">
  <dimension ref="A1"/>
  <sheetViews>
    <sheetView workbookViewId="0">
      <selection activeCell="I18" sqref="I18"/>
    </sheetView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장비통합</vt:lpstr>
      <vt:lpstr>Sheet1</vt:lpstr>
      <vt:lpstr>장비통합!Print_Area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 영섭</dc:creator>
  <cp:lastModifiedBy>신 영섭</cp:lastModifiedBy>
  <dcterms:created xsi:type="dcterms:W3CDTF">2026-05-27T08:13:19Z</dcterms:created>
  <dcterms:modified xsi:type="dcterms:W3CDTF">2026-05-27T08:14:10Z</dcterms:modified>
</cp:coreProperties>
</file>